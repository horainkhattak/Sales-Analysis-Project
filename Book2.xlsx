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613c1e5a8ce0f6cd/Documents/excel/"/>
    </mc:Choice>
  </mc:AlternateContent>
  <xr:revisionPtr revIDLastSave="14" documentId="8_{6EB99314-49A0-4C80-86E0-C33903121A72}" xr6:coauthVersionLast="47" xr6:coauthVersionMax="47" xr10:uidLastSave="{0E28ECFB-8FF4-43F0-B581-D69EE96E9D8E}"/>
  <bookViews>
    <workbookView xWindow="-108" yWindow="-108" windowWidth="23256" windowHeight="12576" activeTab="5" xr2:uid="{7420D2B9-81F7-4DF4-B776-1E5ED0280180}"/>
  </bookViews>
  <sheets>
    <sheet name="products" sheetId="5" r:id="rId1"/>
    <sheet name="Order" sheetId="4" r:id="rId2"/>
    <sheet name="Customers" sheetId="3" r:id="rId3"/>
    <sheet name="ExcelProjectData" sheetId="2" r:id="rId4"/>
    <sheet name="sheeet1" sheetId="1" r:id="rId5"/>
    <sheet name="Dashboard" sheetId="7" r:id="rId6"/>
  </sheets>
  <definedNames>
    <definedName name="_xlcn.WorksheetConnection_Book2.xlsxCustomers" hidden="1">Customers[]</definedName>
    <definedName name="_xlcn.WorksheetConnection_Book2.xlsxExcelProjectData" hidden="1">ExcelProjectData[]</definedName>
    <definedName name="_xlcn.WorksheetConnection_Book2.xlsxOrder" hidden="1">Order[]</definedName>
    <definedName name="_xlcn.WorksheetConnection_Book2.xlsxproducts" hidden="1">products[]</definedName>
    <definedName name="ExternalData_1" localSheetId="3" hidden="1">ExcelProjectData!$A$1:$F$4</definedName>
    <definedName name="ExternalData_2" localSheetId="2" hidden="1">'Customers'!$A$1:$G$101</definedName>
    <definedName name="ExternalData_3" localSheetId="1" hidden="1">Order!$A$1:$N$500</definedName>
    <definedName name="ExternalData_4" localSheetId="0" hidden="1">products!$A$1:$F$71</definedName>
    <definedName name="Slicer_Occasion">#N/A</definedName>
    <definedName name="Timeline_Deliva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Book2.xlsx!products"/>
          <x15:modelTable id="Order" name="Order" connection="WorksheetConnection_Book2.xlsx!Order"/>
          <x15:modelTable id="ExcelProjectData" name="ExcelProjectData" connection="WorksheetConnection_Book2.xlsx!ExcelProjectData"/>
          <x15:modelTable id="Customers" name="Customers" connection="WorksheetConnection_Book2.xlsx!Customers"/>
        </x15:modelTables>
        <x15:modelRelationships>
          <x15:modelRelationship fromTable="Order" fromColumn="Customer_ID" toTable="Customers" toColumn="Customer_ID"/>
          <x15:modelRelationship fromTable="Order" fromColumn="Product_ID" toTable="products" toColumn="Product_ID"/>
        </x15:modelRelationships>
        <x15:extLst>
          <ext xmlns:x16="http://schemas.microsoft.com/office/spreadsheetml/2014/11/main" uri="{9835A34E-60A6-4A7C-AAB8-D5F71C897F49}">
            <x16:modelTimeGroupings>
              <x16:modelTimeGrouping tableName="Order"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2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9084FA-5E2F-408B-A4FC-656AEC6D58B3}"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45CF900C-FE59-4084-AC9B-F6779F40A818}" keepAlive="1" name="Query - ExcelProjectData" description="Connection to the 'ExcelProjectData' query in the workbook." type="5" refreshedVersion="8" background="1" saveData="1">
    <dbPr connection="Provider=Microsoft.Mashup.OleDb.1;Data Source=$Workbook$;Location=ExcelProjectData;Extended Properties=&quot;&quot;" command="SELECT * FROM [ExcelProjectData]"/>
  </connection>
  <connection id="3" xr16:uid="{75B40D89-A9F4-42BD-8304-EBD355B5C1F3}" keepAlive="1" name="Query - Order" description="Connection to the 'Order' query in the workbook." type="5" refreshedVersion="8" background="1" saveData="1">
    <dbPr connection="Provider=Microsoft.Mashup.OleDb.1;Data Source=$Workbook$;Location=Order;Extended Properties=&quot;&quot;" command="SELECT * FROM [Order]"/>
  </connection>
  <connection id="4" xr16:uid="{B4B03839-8103-4939-BF49-02287D42FD42}"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7C844E9A-D531-40B5-8848-9E51BF41A0B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5D9028FC-0E7E-4A31-B2D7-1C3E1CCC8997}" name="WorksheetConnection_Book2.xlsx!Customers" type="102" refreshedVersion="8" minRefreshableVersion="5">
    <extLst>
      <ext xmlns:x15="http://schemas.microsoft.com/office/spreadsheetml/2010/11/main" uri="{DE250136-89BD-433C-8126-D09CA5730AF9}">
        <x15:connection id="Customers">
          <x15:rangePr sourceName="_xlcn.WorksheetConnection_Book2.xlsxCustomers"/>
        </x15:connection>
      </ext>
    </extLst>
  </connection>
  <connection id="7" xr16:uid="{DC8C1F90-AAA6-4860-9DA6-3F284EEFBD90}" name="WorksheetConnection_Book2.xlsx!ExcelProjectData" type="102" refreshedVersion="8" minRefreshableVersion="5">
    <extLst>
      <ext xmlns:x15="http://schemas.microsoft.com/office/spreadsheetml/2010/11/main" uri="{DE250136-89BD-433C-8126-D09CA5730AF9}">
        <x15:connection id="ExcelProjectData">
          <x15:rangePr sourceName="_xlcn.WorksheetConnection_Book2.xlsxExcelProjectData"/>
        </x15:connection>
      </ext>
    </extLst>
  </connection>
  <connection id="8" xr16:uid="{CD04D81C-4AE7-43D3-8A11-8D0B686A97A7}" name="WorksheetConnection_Book2.xlsx!Order" type="102" refreshedVersion="8" minRefreshableVersion="5">
    <extLst>
      <ext xmlns:x15="http://schemas.microsoft.com/office/spreadsheetml/2010/11/main" uri="{DE250136-89BD-433C-8126-D09CA5730AF9}">
        <x15:connection id="Order">
          <x15:rangePr sourceName="_xlcn.WorksheetConnection_Book2.xlsxOrder"/>
        </x15:connection>
      </ext>
    </extLst>
  </connection>
  <connection id="9" xr16:uid="{0C163DC5-BBBB-4F22-B9D4-104ACB06F7AC}" name="WorksheetConnection_Book2.xlsx!products" type="102" refreshedVersion="8" minRefreshableVersion="5">
    <extLst>
      <ext xmlns:x15="http://schemas.microsoft.com/office/spreadsheetml/2010/11/main" uri="{DE250136-89BD-433C-8126-D09CA5730AF9}">
        <x15:connection id="products">
          <x15:rangePr sourceName="_xlcn.WorksheetConnection_Book2.xlsxproducts"/>
        </x15:connection>
      </ext>
    </extLst>
  </connection>
</connections>
</file>

<file path=xl/sharedStrings.xml><?xml version="1.0" encoding="utf-8"?>
<sst xmlns="http://schemas.openxmlformats.org/spreadsheetml/2006/main" count="2472" uniqueCount="612">
  <si>
    <t>Name</t>
  </si>
  <si>
    <t>Extension</t>
  </si>
  <si>
    <t>Date accessed</t>
  </si>
  <si>
    <t>Date modified</t>
  </si>
  <si>
    <t>Date created</t>
  </si>
  <si>
    <t>Folder Path</t>
  </si>
  <si>
    <t>Order.project.final.csv</t>
  </si>
  <si>
    <t>.csv</t>
  </si>
  <si>
    <t>C:\Users\pc\Documents\ExcelProjectData\</t>
  </si>
  <si>
    <t>Pakistani_Customers.final (2).xlsx</t>
  </si>
  <si>
    <t>.xlsx</t>
  </si>
  <si>
    <t>products.final.csv</t>
  </si>
  <si>
    <t>Customer_ID</t>
  </si>
  <si>
    <t>City</t>
  </si>
  <si>
    <t>Phone</t>
  </si>
  <si>
    <t>Email</t>
  </si>
  <si>
    <t>Gender</t>
  </si>
  <si>
    <t>Address</t>
  </si>
  <si>
    <t>C001</t>
  </si>
  <si>
    <t>Minal Tariq</t>
  </si>
  <si>
    <t>Rawalpindi</t>
  </si>
  <si>
    <t>minal.tariq1@yahoo.com</t>
  </si>
  <si>
    <t>Female</t>
  </si>
  <si>
    <t>20 Street 2, Rawalpindi</t>
  </si>
  <si>
    <t>C002</t>
  </si>
  <si>
    <t>Shahzaib Raza</t>
  </si>
  <si>
    <t>Peshawar</t>
  </si>
  <si>
    <t>shahzaib.raza2@hotmail.com</t>
  </si>
  <si>
    <t>Male</t>
  </si>
  <si>
    <t>75 Street 4, Peshawar</t>
  </si>
  <si>
    <t>C003</t>
  </si>
  <si>
    <t>Minal Malik</t>
  </si>
  <si>
    <t>Islamabad</t>
  </si>
  <si>
    <t>minal.malik3@gmail.com</t>
  </si>
  <si>
    <t>58 Street 7, Islamabad</t>
  </si>
  <si>
    <t>C004</t>
  </si>
  <si>
    <t>Hassan Sheikh</t>
  </si>
  <si>
    <t>Lahore</t>
  </si>
  <si>
    <t>hassan.sheikh4@yahoo.com</t>
  </si>
  <si>
    <t>83 Street 20, Lahore</t>
  </si>
  <si>
    <t>C005</t>
  </si>
  <si>
    <t>Areeba Saeed</t>
  </si>
  <si>
    <t>areeba.saeed5@yahoo.com</t>
  </si>
  <si>
    <t>93 Street 9, Peshawar</t>
  </si>
  <si>
    <t>C006</t>
  </si>
  <si>
    <t>Zubair Saeed</t>
  </si>
  <si>
    <t>Karachi</t>
  </si>
  <si>
    <t>zubair.saeed6@yahoo.com</t>
  </si>
  <si>
    <t>8 Street 12, Karachi</t>
  </si>
  <si>
    <t>C007</t>
  </si>
  <si>
    <t>Hina Akram</t>
  </si>
  <si>
    <t>hina.akram7@yahoo.com</t>
  </si>
  <si>
    <t>52 Street 17, Rawalpindi</t>
  </si>
  <si>
    <t>C008</t>
  </si>
  <si>
    <t>Daniyal Raza</t>
  </si>
  <si>
    <t>Faisalabad</t>
  </si>
  <si>
    <t>daniyal.raza8@hotmail.com</t>
  </si>
  <si>
    <t>65 Street 5, Faisalabad</t>
  </si>
  <si>
    <t>C009</t>
  </si>
  <si>
    <t>Saba Khan</t>
  </si>
  <si>
    <t>saba.khan9@gmail.com</t>
  </si>
  <si>
    <t>43 Street 3, Lahore</t>
  </si>
  <si>
    <t>C010</t>
  </si>
  <si>
    <t>Salman Qureshi</t>
  </si>
  <si>
    <t>salman.qureshi10@yahoo.com</t>
  </si>
  <si>
    <t>31 Street 8, Lahore</t>
  </si>
  <si>
    <t>C011</t>
  </si>
  <si>
    <t>Hira Malik</t>
  </si>
  <si>
    <t>hira.malik11@yahoo.com</t>
  </si>
  <si>
    <t>32 Street 2, Peshawar</t>
  </si>
  <si>
    <t>C012</t>
  </si>
  <si>
    <t>Usama Qureshi</t>
  </si>
  <si>
    <t>usama.qureshi12@hotmail.com</t>
  </si>
  <si>
    <t>3 Street 7, Karachi</t>
  </si>
  <si>
    <t>C013</t>
  </si>
  <si>
    <t>Sana Batool</t>
  </si>
  <si>
    <t>Multan</t>
  </si>
  <si>
    <t>sana.batool13@hotmail.com</t>
  </si>
  <si>
    <t>10 Street 3, Multan</t>
  </si>
  <si>
    <t>C014</t>
  </si>
  <si>
    <t>Ibrahim Malik</t>
  </si>
  <si>
    <t>ibrahim.malik14@gmail.com</t>
  </si>
  <si>
    <t>59 Street 3, Faisalabad</t>
  </si>
  <si>
    <t>C015</t>
  </si>
  <si>
    <t>hira.malik15@hotmail.com</t>
  </si>
  <si>
    <t>25 Street 8, Faisalabad</t>
  </si>
  <si>
    <t>C016</t>
  </si>
  <si>
    <t>Shahzaib Javed</t>
  </si>
  <si>
    <t>Quetta</t>
  </si>
  <si>
    <t>shahzaib.javed16@yahoo.com</t>
  </si>
  <si>
    <t>69 Street 8, Quetta</t>
  </si>
  <si>
    <t>C017</t>
  </si>
  <si>
    <t>Amina Qureshi</t>
  </si>
  <si>
    <t>amina.qureshi17@hotmail.com</t>
  </si>
  <si>
    <t>43 Street 19, Rawalpindi</t>
  </si>
  <si>
    <t>C018</t>
  </si>
  <si>
    <t>Rehan Noor</t>
  </si>
  <si>
    <t>rehan.noor18@hotmail.com</t>
  </si>
  <si>
    <t>93 Street 8, Multan</t>
  </si>
  <si>
    <t>C019</t>
  </si>
  <si>
    <t>Amina Tariq</t>
  </si>
  <si>
    <t>amina.tariq19@gmail.com</t>
  </si>
  <si>
    <t>15 Street 10, Karachi</t>
  </si>
  <si>
    <t>C020</t>
  </si>
  <si>
    <t>Usama Akram</t>
  </si>
  <si>
    <t>usama.akram20@gmail.com</t>
  </si>
  <si>
    <t>72 Street 5, Quetta</t>
  </si>
  <si>
    <t>C021</t>
  </si>
  <si>
    <t>Alina Akram</t>
  </si>
  <si>
    <t>alina.akram21@gmail.com</t>
  </si>
  <si>
    <t>3 Street 13, Multan</t>
  </si>
  <si>
    <t>C022</t>
  </si>
  <si>
    <t>Hamza Ali</t>
  </si>
  <si>
    <t>hamza.ali22@gmail.com</t>
  </si>
  <si>
    <t>6 Street 15, Rawalpindi</t>
  </si>
  <si>
    <t>C023</t>
  </si>
  <si>
    <t>Saba Noor</t>
  </si>
  <si>
    <t>saba.noor23@gmail.com</t>
  </si>
  <si>
    <t>26 Street 7, Multan</t>
  </si>
  <si>
    <t>C024</t>
  </si>
  <si>
    <t>Ibrahim Iqbal</t>
  </si>
  <si>
    <t>ibrahim.iqbal24@yahoo.com</t>
  </si>
  <si>
    <t>89 Street 16, Islamabad</t>
  </si>
  <si>
    <t>C025</t>
  </si>
  <si>
    <t>Amina Javed</t>
  </si>
  <si>
    <t>amina.javed25@gmail.com</t>
  </si>
  <si>
    <t>10 Street 8, Rawalpindi</t>
  </si>
  <si>
    <t>C026</t>
  </si>
  <si>
    <t>Shahzaib Qureshi</t>
  </si>
  <si>
    <t>shahzaib.qureshi26@hotmail.com</t>
  </si>
  <si>
    <t>57 Street 17, Quetta</t>
  </si>
  <si>
    <t>C027</t>
  </si>
  <si>
    <t>Zainab Tariq</t>
  </si>
  <si>
    <t>zainab.tariq27@hotmail.com</t>
  </si>
  <si>
    <t>83 Street 10, Peshawar</t>
  </si>
  <si>
    <t>C028</t>
  </si>
  <si>
    <t>Naveed Sheikh</t>
  </si>
  <si>
    <t>naveed.sheikh28@hotmail.com</t>
  </si>
  <si>
    <t>51 Street 12, Karachi</t>
  </si>
  <si>
    <t>C029</t>
  </si>
  <si>
    <t>Aqsa Iqbal</t>
  </si>
  <si>
    <t>aqsa.iqbal29@hotmail.com</t>
  </si>
  <si>
    <t>2 Street 18, Faisalabad</t>
  </si>
  <si>
    <t>C030</t>
  </si>
  <si>
    <t>Usama Raza</t>
  </si>
  <si>
    <t>usama.raza30@hotmail.com</t>
  </si>
  <si>
    <t>88 Street 11, Quetta</t>
  </si>
  <si>
    <t>C031</t>
  </si>
  <si>
    <t>Zainab Noor</t>
  </si>
  <si>
    <t>zainab.noor31@hotmail.com</t>
  </si>
  <si>
    <t>17 Street 11, Rawalpindi</t>
  </si>
  <si>
    <t>C032</t>
  </si>
  <si>
    <t>Faizan Malik</t>
  </si>
  <si>
    <t>faizan.malik32@gmail.com</t>
  </si>
  <si>
    <t>21 Street 5, Lahore</t>
  </si>
  <si>
    <t>C033</t>
  </si>
  <si>
    <t>Areeba Tariq</t>
  </si>
  <si>
    <t>areeba.tariq33@gmail.com</t>
  </si>
  <si>
    <t>46 Street 6, Karachi</t>
  </si>
  <si>
    <t>C034</t>
  </si>
  <si>
    <t>Zubair Shah</t>
  </si>
  <si>
    <t>zubair.shah34@hotmail.com</t>
  </si>
  <si>
    <t>13 Street 20, Multan</t>
  </si>
  <si>
    <t>C035</t>
  </si>
  <si>
    <t>Saba Ahmed</t>
  </si>
  <si>
    <t>saba.ahmed35@gmail.com</t>
  </si>
  <si>
    <t>14 Street 13, Quetta</t>
  </si>
  <si>
    <t>C036</t>
  </si>
  <si>
    <t>Hamza Saeed</t>
  </si>
  <si>
    <t>hamza.saeed36@gmail.com</t>
  </si>
  <si>
    <t>36 Street 2, Peshawar</t>
  </si>
  <si>
    <t>C037</t>
  </si>
  <si>
    <t>Maryam Tariq</t>
  </si>
  <si>
    <t>maryam.tariq37@hotmail.com</t>
  </si>
  <si>
    <t>80 Street 16, Lahore</t>
  </si>
  <si>
    <t>C038</t>
  </si>
  <si>
    <t>Ibrahim Ali</t>
  </si>
  <si>
    <t>ibrahim.ali38@gmail.com</t>
  </si>
  <si>
    <t>98 Street 3, Faisalabad</t>
  </si>
  <si>
    <t>C039</t>
  </si>
  <si>
    <t>Laiba Akram</t>
  </si>
  <si>
    <t>laiba.akram39@gmail.com</t>
  </si>
  <si>
    <t>79 Street 10, Rawalpindi</t>
  </si>
  <si>
    <t>C040</t>
  </si>
  <si>
    <t>Daniyal Malik</t>
  </si>
  <si>
    <t>daniyal.malik40@yahoo.com</t>
  </si>
  <si>
    <t>30 Street 12, Lahore</t>
  </si>
  <si>
    <t>C041</t>
  </si>
  <si>
    <t>Hira Sheikh</t>
  </si>
  <si>
    <t>hira.sheikh41@hotmail.com</t>
  </si>
  <si>
    <t>70 Street 3, Faisalabad</t>
  </si>
  <si>
    <t>C042</t>
  </si>
  <si>
    <t>Usman Saeed</t>
  </si>
  <si>
    <t>usman.saeed42@gmail.com</t>
  </si>
  <si>
    <t>89 Street 2, Karachi</t>
  </si>
  <si>
    <t>C043</t>
  </si>
  <si>
    <t>Alina Shah</t>
  </si>
  <si>
    <t>alina.shah43@hotmail.com</t>
  </si>
  <si>
    <t>21 Street 12, Islamabad</t>
  </si>
  <si>
    <t>C044</t>
  </si>
  <si>
    <t>Shahzaib Iqbal</t>
  </si>
  <si>
    <t>shahzaib.iqbal44@hotmail.com</t>
  </si>
  <si>
    <t>83 Street 13, Multan</t>
  </si>
  <si>
    <t>C045</t>
  </si>
  <si>
    <t>Amina Ali</t>
  </si>
  <si>
    <t>amina.ali45@gmail.com</t>
  </si>
  <si>
    <t>64 Street 11, Multan</t>
  </si>
  <si>
    <t>C046</t>
  </si>
  <si>
    <t>Rameez Raza</t>
  </si>
  <si>
    <t>rameez.raza46@hotmail.com</t>
  </si>
  <si>
    <t>87 Street 4, Islamabad</t>
  </si>
  <si>
    <t>C047</t>
  </si>
  <si>
    <t>Aqsa Shah</t>
  </si>
  <si>
    <t>aqsa.shah47@hotmail.com</t>
  </si>
  <si>
    <t>22 Street 8, Multan</t>
  </si>
  <si>
    <t>C048</t>
  </si>
  <si>
    <t>shahzaib.raza48@yahoo.com</t>
  </si>
  <si>
    <t>6 Street 20, Islamabad</t>
  </si>
  <si>
    <t>C049</t>
  </si>
  <si>
    <t>Hina Tariq</t>
  </si>
  <si>
    <t>hina.tariq49@gmail.com</t>
  </si>
  <si>
    <t>67 Street 18, Karachi</t>
  </si>
  <si>
    <t>C050</t>
  </si>
  <si>
    <t>Ahmed Saeed</t>
  </si>
  <si>
    <t>ahmed.saeed50@hotmail.com</t>
  </si>
  <si>
    <t>78 Street 8, Faisalabad</t>
  </si>
  <si>
    <t>C051</t>
  </si>
  <si>
    <t>Noor Qureshi</t>
  </si>
  <si>
    <t>noor.qureshi51@gmail.com</t>
  </si>
  <si>
    <t>17 Street 9, Faisalabad</t>
  </si>
  <si>
    <t>C052</t>
  </si>
  <si>
    <t>Usama Batool</t>
  </si>
  <si>
    <t>usama.batool52@gmail.com</t>
  </si>
  <si>
    <t>91 Street 12, Faisalabad</t>
  </si>
  <si>
    <t>C053</t>
  </si>
  <si>
    <t>Dua Raza</t>
  </si>
  <si>
    <t>dua.raza53@gmail.com</t>
  </si>
  <si>
    <t>29 Street 17, Quetta</t>
  </si>
  <si>
    <t>C054</t>
  </si>
  <si>
    <t>Hammad Akram</t>
  </si>
  <si>
    <t>hammad.akram54@yahoo.com</t>
  </si>
  <si>
    <t>39 Street 6, Lahore</t>
  </si>
  <si>
    <t>C055</t>
  </si>
  <si>
    <t>Hira Javed</t>
  </si>
  <si>
    <t>hira.javed55@yahoo.com</t>
  </si>
  <si>
    <t>59 Street 18, Rawalpindi</t>
  </si>
  <si>
    <t>C056</t>
  </si>
  <si>
    <t>Ali Sheikh</t>
  </si>
  <si>
    <t>ali.sheikh56@yahoo.com</t>
  </si>
  <si>
    <t>11 Street 5, Multan</t>
  </si>
  <si>
    <t>C057</t>
  </si>
  <si>
    <t>noor.qureshi57@hotmail.com</t>
  </si>
  <si>
    <t>12 Street 10, Karachi</t>
  </si>
  <si>
    <t>C058</t>
  </si>
  <si>
    <t>Ali Ali</t>
  </si>
  <si>
    <t>ali.ali58@hotmail.com</t>
  </si>
  <si>
    <t>24 Street 15, Peshawar</t>
  </si>
  <si>
    <t>C059</t>
  </si>
  <si>
    <t>Saba Sheikh</t>
  </si>
  <si>
    <t>saba.sheikh59@hotmail.com</t>
  </si>
  <si>
    <t>91 Street 18, Quetta</t>
  </si>
  <si>
    <t>C060</t>
  </si>
  <si>
    <t>Usama Javed</t>
  </si>
  <si>
    <t>usama.javed60@hotmail.com</t>
  </si>
  <si>
    <t>40 Street 12, Karachi</t>
  </si>
  <si>
    <t>C061</t>
  </si>
  <si>
    <t>Alina Sheikh</t>
  </si>
  <si>
    <t>alina.sheikh61@hotmail.com</t>
  </si>
  <si>
    <t>22 Street 6, Karachi</t>
  </si>
  <si>
    <t>C062</t>
  </si>
  <si>
    <t>Omer Iqbal</t>
  </si>
  <si>
    <t>omer.iqbal62@hotmail.com</t>
  </si>
  <si>
    <t>93 Street 5, Quetta</t>
  </si>
  <si>
    <t>C063</t>
  </si>
  <si>
    <t>Ayesha Qureshi</t>
  </si>
  <si>
    <t>ayesha.qureshi63@hotmail.com</t>
  </si>
  <si>
    <t>93 Street 12, Multan</t>
  </si>
  <si>
    <t>C064</t>
  </si>
  <si>
    <t>ibrahim.ali64@hotmail.com</t>
  </si>
  <si>
    <t>86 Street 15, Peshawar</t>
  </si>
  <si>
    <t>C065</t>
  </si>
  <si>
    <t>Sana Raza</t>
  </si>
  <si>
    <t>sana.raza65@yahoo.com</t>
  </si>
  <si>
    <t>51 Street 5, Karachi</t>
  </si>
  <si>
    <t>C066</t>
  </si>
  <si>
    <t>Talha Iqbal</t>
  </si>
  <si>
    <t>talha.iqbal66@gmail.com</t>
  </si>
  <si>
    <t>94 Street 16, Islamabad</t>
  </si>
  <si>
    <t>C067</t>
  </si>
  <si>
    <t>Khadija Shah</t>
  </si>
  <si>
    <t>khadija.shah67@gmail.com</t>
  </si>
  <si>
    <t>45 Street 12, Faisalabad</t>
  </si>
  <si>
    <t>C068</t>
  </si>
  <si>
    <t>Rehan Ahmed</t>
  </si>
  <si>
    <t>rehan.ahmed68@gmail.com</t>
  </si>
  <si>
    <t>78 Street 10, Karachi</t>
  </si>
  <si>
    <t>C069</t>
  </si>
  <si>
    <t>Khadija Batool</t>
  </si>
  <si>
    <t>khadija.batool69@yahoo.com</t>
  </si>
  <si>
    <t>64 Street 13, Peshawar</t>
  </si>
  <si>
    <t>C070</t>
  </si>
  <si>
    <t>Salman Ali</t>
  </si>
  <si>
    <t>salman.ali70@gmail.com</t>
  </si>
  <si>
    <t>82 Street 16, Rawalpindi</t>
  </si>
  <si>
    <t>C071</t>
  </si>
  <si>
    <t>Zainab Sheikh</t>
  </si>
  <si>
    <t>zainab.sheikh71@gmail.com</t>
  </si>
  <si>
    <t>47 Street 12, Islamabad</t>
  </si>
  <si>
    <t>C072</t>
  </si>
  <si>
    <t>Usman Akram</t>
  </si>
  <si>
    <t>usman.akram72@gmail.com</t>
  </si>
  <si>
    <t>81 Street 6, Faisalabad</t>
  </si>
  <si>
    <t>C073</t>
  </si>
  <si>
    <t>Amina Sheikh</t>
  </si>
  <si>
    <t>amina.sheikh73@yahoo.com</t>
  </si>
  <si>
    <t>59 Street 11, Lahore</t>
  </si>
  <si>
    <t>C074</t>
  </si>
  <si>
    <t>Usama Noor</t>
  </si>
  <si>
    <t>usama.noor74@gmail.com</t>
  </si>
  <si>
    <t>37 Street 20, Quetta</t>
  </si>
  <si>
    <t>C075</t>
  </si>
  <si>
    <t>Fatima Ali</t>
  </si>
  <si>
    <t>fatima.ali75@hotmail.com</t>
  </si>
  <si>
    <t>74 Street 16, Rawalpindi</t>
  </si>
  <si>
    <t>C076</t>
  </si>
  <si>
    <t>Daniyal Ali</t>
  </si>
  <si>
    <t>daniyal.ali76@yahoo.com</t>
  </si>
  <si>
    <t>73 Street 6, Karachi</t>
  </si>
  <si>
    <t>C077</t>
  </si>
  <si>
    <t>Mahnoor Malik</t>
  </si>
  <si>
    <t>mahnoor.malik77@yahoo.com</t>
  </si>
  <si>
    <t>25 Street 7, Multan</t>
  </si>
  <si>
    <t>C078</t>
  </si>
  <si>
    <t>Talha Sheikh</t>
  </si>
  <si>
    <t>talha.sheikh78@yahoo.com</t>
  </si>
  <si>
    <t>15 Street 17, Faisalabad</t>
  </si>
  <si>
    <t>C079</t>
  </si>
  <si>
    <t>amina.sheikh79@yahoo.com</t>
  </si>
  <si>
    <t>36 Street 20, Rawalpindi</t>
  </si>
  <si>
    <t>C080</t>
  </si>
  <si>
    <t>Daniyal Khan</t>
  </si>
  <si>
    <t>daniyal.khan80@hotmail.com</t>
  </si>
  <si>
    <t>86 Street 16, Peshawar</t>
  </si>
  <si>
    <t>C081</t>
  </si>
  <si>
    <t>Aqsa Javed</t>
  </si>
  <si>
    <t>aqsa.javed81@gmail.com</t>
  </si>
  <si>
    <t>5 Street 9, Faisalabad</t>
  </si>
  <si>
    <t>C082</t>
  </si>
  <si>
    <t>Bilal Akram</t>
  </si>
  <si>
    <t>bilal.akram82@yahoo.com</t>
  </si>
  <si>
    <t>97 Street 15, Islamabad</t>
  </si>
  <si>
    <t>C083</t>
  </si>
  <si>
    <t>Sana Ahmed</t>
  </si>
  <si>
    <t>sana.ahmed83@yahoo.com</t>
  </si>
  <si>
    <t>64 Street 8, Quetta</t>
  </si>
  <si>
    <t>C084</t>
  </si>
  <si>
    <t>Naveed Iqbal</t>
  </si>
  <si>
    <t>naveed.iqbal84@hotmail.com</t>
  </si>
  <si>
    <t>4 Street 4, Multan</t>
  </si>
  <si>
    <t>C085</t>
  </si>
  <si>
    <t>Amina Akram</t>
  </si>
  <si>
    <t>amina.akram85@yahoo.com</t>
  </si>
  <si>
    <t>62 Street 5, Islamabad</t>
  </si>
  <si>
    <t>C086</t>
  </si>
  <si>
    <t>Hammad Malik</t>
  </si>
  <si>
    <t>hammad.malik86@hotmail.com</t>
  </si>
  <si>
    <t>18 Street 20, Lahore</t>
  </si>
  <si>
    <t>C087</t>
  </si>
  <si>
    <t>Minal Qureshi</t>
  </si>
  <si>
    <t>minal.qureshi87@hotmail.com</t>
  </si>
  <si>
    <t>49 Street 8, Peshawar</t>
  </si>
  <si>
    <t>C088</t>
  </si>
  <si>
    <t>Ahmed Malik</t>
  </si>
  <si>
    <t>ahmed.malik88@hotmail.com</t>
  </si>
  <si>
    <t>67 Street 3, Peshawar</t>
  </si>
  <si>
    <t>C089</t>
  </si>
  <si>
    <t>alina.shah89@yahoo.com</t>
  </si>
  <si>
    <t>1 Street 6, Multan</t>
  </si>
  <si>
    <t>C090</t>
  </si>
  <si>
    <t>Ali Malik</t>
  </si>
  <si>
    <t>ali.malik90@gmail.com</t>
  </si>
  <si>
    <t>40 Street 3, Karachi</t>
  </si>
  <si>
    <t>C091</t>
  </si>
  <si>
    <t>Hira Raza</t>
  </si>
  <si>
    <t>hira.raza91@hotmail.com</t>
  </si>
  <si>
    <t>93 Street 18, Faisalabad</t>
  </si>
  <si>
    <t>C092</t>
  </si>
  <si>
    <t>Zubair Khan</t>
  </si>
  <si>
    <t>zubair.khan92@gmail.com</t>
  </si>
  <si>
    <t>53 Street 17, Peshawar</t>
  </si>
  <si>
    <t>C093</t>
  </si>
  <si>
    <t>Khadija Saeed</t>
  </si>
  <si>
    <t>khadija.saeed93@gmail.com</t>
  </si>
  <si>
    <t>82 Street 17, Lahore</t>
  </si>
  <si>
    <t>C094</t>
  </si>
  <si>
    <t>shahzaib.javed94@yahoo.com</t>
  </si>
  <si>
    <t>17 Street 12, Multan</t>
  </si>
  <si>
    <t>C095</t>
  </si>
  <si>
    <t>Minal Khan</t>
  </si>
  <si>
    <t>minal.khan95@gmail.com</t>
  </si>
  <si>
    <t>60 Street 6, Quetta</t>
  </si>
  <si>
    <t>C096</t>
  </si>
  <si>
    <t>Faizan Shah</t>
  </si>
  <si>
    <t>faizan.shah96@yahoo.com</t>
  </si>
  <si>
    <t>70 Street 9, Islamabad</t>
  </si>
  <si>
    <t>C097</t>
  </si>
  <si>
    <t>Mahnoor Akram</t>
  </si>
  <si>
    <t>mahnoor.akram97@yahoo.com</t>
  </si>
  <si>
    <t>92 Street 2, Multan</t>
  </si>
  <si>
    <t>C098</t>
  </si>
  <si>
    <t>Ibrahim Shah</t>
  </si>
  <si>
    <t>ibrahim.shah98@yahoo.com</t>
  </si>
  <si>
    <t>15 Street 5, Karachi</t>
  </si>
  <si>
    <t>C099</t>
  </si>
  <si>
    <t>Sana Tariq</t>
  </si>
  <si>
    <t>sana.tariq99@yahoo.com</t>
  </si>
  <si>
    <t>63 Street 20, Lahore</t>
  </si>
  <si>
    <t>C100</t>
  </si>
  <si>
    <t>shahzaib.iqbal100@yahoo.com</t>
  </si>
  <si>
    <t>49 Street 10, Quetta</t>
  </si>
  <si>
    <t>Product_ID</t>
  </si>
  <si>
    <t>Product_Name</t>
  </si>
  <si>
    <t>Category</t>
  </si>
  <si>
    <t>Price (PKR)</t>
  </si>
  <si>
    <t>Description</t>
  </si>
  <si>
    <t>Ocassion</t>
  </si>
  <si>
    <t>Magnam Set</t>
  </si>
  <si>
    <t>Soft Toys</t>
  </si>
  <si>
    <t>Quam numquam iste sunt nemo.</t>
  </si>
  <si>
    <t>Eid</t>
  </si>
  <si>
    <t>Voluptas Box</t>
  </si>
  <si>
    <t>Plants</t>
  </si>
  <si>
    <t>At quaerat animi nemo.</t>
  </si>
  <si>
    <t>Birthday</t>
  </si>
  <si>
    <t>Eius Gift</t>
  </si>
  <si>
    <t>Colors</t>
  </si>
  <si>
    <t>Deserunt pariatur mollitia voluptatem.</t>
  </si>
  <si>
    <t>Anniversary</t>
  </si>
  <si>
    <t>Accusantium Set</t>
  </si>
  <si>
    <t>Sweets</t>
  </si>
  <si>
    <t>Corporis odio consequatur perferendis repellendus laudantium deserunt.</t>
  </si>
  <si>
    <t>Christmas</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</si>
  <si>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</si>
  <si>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</si>
  <si>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</si>
  <si>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</si>
  <si>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</si>
  <si>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</si>
  <si>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</si>
  <si>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</si>
  <si>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</si>
  <si>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</si>
  <si>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</si>
  <si>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</si>
  <si>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</si>
  <si>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</si>
  <si>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</si>
  <si>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</si>
  <si>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</si>
  <si>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</si>
  <si>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</si>
  <si>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</si>
  <si>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</si>
  <si>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</si>
  <si>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</si>
  <si>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Raksha Bandhan</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</si>
  <si>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</si>
  <si>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</si>
  <si>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</si>
  <si>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</si>
  <si>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</si>
  <si>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</si>
  <si>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</si>
  <si>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</si>
  <si>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</si>
  <si>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</si>
  <si>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</si>
  <si>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</si>
  <si>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</si>
  <si>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</si>
  <si>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</si>
  <si>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</si>
  <si>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</si>
  <si>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</si>
  <si>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</si>
  <si>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</si>
  <si>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</si>
  <si>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</si>
  <si>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</si>
  <si>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</si>
  <si>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</si>
  <si>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</si>
  <si>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</si>
  <si>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</si>
  <si>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</si>
  <si>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</si>
  <si>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</si>
  <si>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</si>
  <si>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</si>
  <si>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</si>
  <si>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</si>
  <si>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</si>
  <si>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</si>
  <si>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</si>
  <si>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</si>
  <si>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</si>
  <si>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</si>
  <si>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</si>
  <si>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</si>
  <si>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</si>
  <si>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</si>
  <si>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</si>
  <si>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</si>
  <si>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</si>
  <si>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</si>
  <si>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</si>
  <si>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</si>
  <si>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</si>
  <si>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</si>
  <si>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</si>
  <si>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</si>
  <si>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</si>
  <si>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</si>
  <si>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</si>
  <si>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</si>
  <si>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</si>
  <si>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</si>
  <si>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</si>
  <si>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</si>
  <si>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</si>
  <si>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</si>
  <si>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</si>
  <si>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</si>
  <si>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</si>
  <si>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</si>
  <si>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</si>
  <si>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</si>
  <si>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</si>
  <si>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</si>
  <si>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</si>
  <si>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</si>
  <si>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</si>
  <si>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</si>
  <si>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</si>
  <si>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</si>
  <si>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</si>
  <si>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</si>
  <si>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</si>
  <si>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</si>
  <si>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</si>
  <si>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</si>
  <si>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</si>
  <si>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</si>
  <si>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</si>
  <si>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</si>
  <si>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</si>
  <si>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</si>
  <si>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</si>
  <si>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</si>
  <si>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</si>
  <si>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</si>
  <si>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</si>
  <si>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</si>
  <si>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</si>
  <si>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</si>
  <si>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</si>
  <si>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</si>
  <si>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</si>
  <si>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</si>
  <si>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</si>
  <si>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</si>
  <si>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</si>
  <si>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</si>
  <si>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</si>
  <si>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</si>
  <si>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Order_ID</t>
  </si>
  <si>
    <t>Quantity</t>
  </si>
  <si>
    <t>Order_date</t>
  </si>
  <si>
    <t>Order_Time</t>
  </si>
  <si>
    <t>Delivary_date</t>
  </si>
  <si>
    <t>Delivery_Time</t>
  </si>
  <si>
    <t>Occasion</t>
  </si>
  <si>
    <t>Month Name</t>
  </si>
  <si>
    <t>Hour(Order_Time)</t>
  </si>
  <si>
    <t>Hour(Delivary_Time)</t>
  </si>
  <si>
    <t>Diff_order_delivary</t>
  </si>
  <si>
    <t>June</t>
  </si>
  <si>
    <t>October</t>
  </si>
  <si>
    <t>December</t>
  </si>
  <si>
    <t>March</t>
  </si>
  <si>
    <t>July</t>
  </si>
  <si>
    <t>Valentine's Day</t>
  </si>
  <si>
    <t>April</t>
  </si>
  <si>
    <t>May</t>
  </si>
  <si>
    <t>All Occasions</t>
  </si>
  <si>
    <t>September</t>
  </si>
  <si>
    <t>August</t>
  </si>
  <si>
    <t>November</t>
  </si>
  <si>
    <t>January</t>
  </si>
  <si>
    <t>February</t>
  </si>
  <si>
    <t>Row Labels</t>
  </si>
  <si>
    <t>Grand Total</t>
  </si>
  <si>
    <t>Sum of Revenue</t>
  </si>
  <si>
    <t>Average of Diff_order_delivary</t>
  </si>
  <si>
    <t>Average of Revenue</t>
  </si>
  <si>
    <t>Count of Order_ID</t>
  </si>
  <si>
    <t>Friday</t>
  </si>
  <si>
    <t>Wednesday</t>
  </si>
  <si>
    <t>Monday</t>
  </si>
  <si>
    <t>Sunday</t>
  </si>
  <si>
    <t>Thursday</t>
  </si>
  <si>
    <t>Saturday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</si>
</sst>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F400]h:mm:ss\ AM/PM"/>
    <numFmt numFmtId="165" formatCode="[$Rs-420]\ #,##0.00"/>
    <numFmt numFmtId="166" formatCode="[$Rs-420]\ #,##0.00;\-[$Rs-420]\ #,##0.00"/>
  </numFmts>
  <fonts count="3" x14ac:knownFonts="1">
    <font>
      <sz val="11"/>
      <color theme="1"/>
      <name val="Aptos Narrow"/>
      <family val="2"/>
      <scheme val="minor"/>
    </font>
    <font>
      <sz val="11"/>
      <color rgb="FFFF0000"/>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44" fontId="0" fillId="0" borderId="0" xfId="0" applyNumberFormat="1" applyAlignment="1">
      <alignment horizontal="left"/>
    </xf>
    <xf numFmtId="165" fontId="0" fillId="0" borderId="0" xfId="0" applyNumberFormat="1"/>
    <xf numFmtId="166" fontId="0" fillId="0" borderId="0" xfId="0" applyNumberFormat="1"/>
    <xf numFmtId="165" fontId="2" fillId="2" borderId="1" xfId="0" applyNumberFormat="1" applyFont="1" applyFill="1" applyBorder="1"/>
    <xf numFmtId="0" fontId="1" fillId="0" borderId="0" xfId="0" applyFont="1"/>
  </cellXfs>
  <cellStyles count="1">
    <cellStyle name="Normal" xfId="0" builtinId="0"/>
  </cellStyles>
  <dxfs count="32">
    <dxf>
      <numFmt numFmtId="165" formatCode="[$Rs-420]\ #,##0.00"/>
    </dxf>
    <dxf>
      <numFmt numFmtId="165" formatCode="[$Rs-420]\ #,##0.00"/>
    </dxf>
    <dxf>
      <numFmt numFmtId="165" formatCode="[$Rs-420]\ #,##0.00"/>
    </dxf>
    <dxf>
      <numFmt numFmtId="166" formatCode="[$Rs-420]\ #,##0.00;\-[$Rs-420]\ #,##0.00"/>
    </dxf>
    <dxf>
      <numFmt numFmtId="165" formatCode="[$Rs-420]\ #,##0.00"/>
    </dxf>
    <dxf>
      <numFmt numFmtId="34" formatCode="_(&quot;$&quot;* #,##0.00_);_(&quot;$&quot;* \(#,##0.00\);_(&quot;$&quot;* &quot;-&quot;??_);_(@_)"/>
    </dxf>
    <dxf>
      <numFmt numFmtId="34" formatCode="_(&quot;$&quot;* #,##0.00_);_(&quot;$&quot;* \(#,##0.00\);_(&quot;$&quot;* &quot;-&quot;??_);_(@_)"/>
    </dxf>
    <dxf>
      <numFmt numFmtId="165" formatCode="[$Rs-420]\ #,##0.00"/>
    </dxf>
    <dxf>
      <numFmt numFmtId="165" formatCode="[$Rs-420]\ #,##0.00"/>
    </dxf>
    <dxf>
      <numFmt numFmtId="0" formatCode="General"/>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theme" Target="theme/them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[Book2.xlsx]sheeet1!PivotTable11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15900134449665"/>
          <c:y val="0.24672451374792939"/>
          <c:w val="0.7359287229267012"/>
          <c:h val="0.48315553452084714"/>
        </c:manualLayout>
      </c:layout>
      <c:barChart>
        <c:barDir val="col"/>
        <c:grouping val="clustered"/>
        <c:varyColors val="0"/>
        <c:ser>
          <c:idx val="0"/>
          <c:order val="0"/>
          <c:tx>
            <c:strRef>
              <c:f>sheeet1!$J$34</c:f>
              <c:strCache>
                <c:ptCount val="1"/>
                <c:pt idx="0">
                  <c:v>Total</c:v>
                </c:pt>
              </c:strCache>
            </c:strRef>
          </c:tx>
          <c:spPr>
            <a:solidFill>
              <a:schemeClr val="accent1"/>
            </a:solidFill>
            <a:ln>
              <a:noFill/>
            </a:ln>
            <a:effectLst/>
          </c:spPr>
          <c:invertIfNegative val="0"/>
          <c:cat>
            <c:strRef>
              <c:f>sheeet1!$I$35:$I$36</c:f>
              <c:strCache>
                <c:ptCount val="1"/>
                <c:pt idx="0">
                  <c:v>Birthday</c:v>
                </c:pt>
              </c:strCache>
            </c:strRef>
          </c:cat>
          <c:val>
            <c:numRef>
              <c:f>sheeet1!$J$35:$J$36</c:f>
              <c:numCache>
                <c:formatCode>[$Rs-420]\ #,##0.00</c:formatCode>
                <c:ptCount val="1"/>
                <c:pt idx="0">
                  <c:v>32591</c:v>
                </c:pt>
              </c:numCache>
            </c:numRef>
          </c:val>
          <c:extLst>
            <c:ext xmlns:c16="http://schemas.microsoft.com/office/drawing/2014/chart" uri="{C3380CC4-5D6E-409C-BE32-E72D297353CC}">
              <c16:uniqueId val="{00000000-9AB3-40CB-A6CB-1747E3B147F6}"/>
            </c:ext>
          </c:extLst>
        </c:ser>
        <c:dLbls>
          <c:showLegendKey val="0"/>
          <c:showVal val="0"/>
          <c:showCatName val="0"/>
          <c:showSerName val="0"/>
          <c:showPercent val="0"/>
          <c:showBubbleSize val="0"/>
        </c:dLbls>
        <c:gapWidth val="219"/>
        <c:overlap val="-27"/>
        <c:axId val="2075727247"/>
        <c:axId val="2075734447"/>
      </c:barChart>
      <c:catAx>
        <c:axId val="207572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734447"/>
        <c:crosses val="autoZero"/>
        <c:auto val="1"/>
        <c:lblAlgn val="ctr"/>
        <c:lblOffset val="100"/>
        <c:noMultiLvlLbl val="0"/>
      </c:catAx>
      <c:valAx>
        <c:axId val="2075734447"/>
        <c:scaling>
          <c:orientation val="minMax"/>
        </c:scaling>
        <c:delete val="0"/>
        <c:axPos val="l"/>
        <c:majorGridlines>
          <c:spPr>
            <a:ln w="9525" cap="flat" cmpd="sng" algn="ctr">
              <a:solidFill>
                <a:schemeClr val="tx1">
                  <a:lumMod val="15000"/>
                  <a:lumOff val="85000"/>
                </a:schemeClr>
              </a:solidFill>
              <a:round/>
            </a:ln>
            <a:effectLst/>
          </c:spPr>
        </c:majorGridlines>
        <c:numFmt formatCode="[$Rs-420]\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72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[Book2.xlsx]sheeet1!PivotTable8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sheeet1!$C$23</c:f>
              <c:strCache>
                <c:ptCount val="1"/>
                <c:pt idx="0">
                  <c:v>Total</c:v>
                </c:pt>
              </c:strCache>
            </c:strRef>
          </c:tx>
          <c:spPr>
            <a:solidFill>
              <a:schemeClr val="accent1"/>
            </a:solidFill>
            <a:ln>
              <a:noFill/>
            </a:ln>
            <a:effectLst/>
          </c:spPr>
          <c:invertIfNegative val="0"/>
          <c:cat>
            <c:strRef>
              <c:f>sheeet1!$B$24:$B$28</c:f>
              <c:strCache>
                <c:ptCount val="4"/>
                <c:pt idx="0">
                  <c:v>Cake</c:v>
                </c:pt>
                <c:pt idx="1">
                  <c:v>Colors</c:v>
                </c:pt>
                <c:pt idx="2">
                  <c:v>Plants</c:v>
                </c:pt>
                <c:pt idx="3">
                  <c:v>Sweets</c:v>
                </c:pt>
              </c:strCache>
            </c:strRef>
          </c:cat>
          <c:val>
            <c:numRef>
              <c:f>sheeet1!$C$24:$C$28</c:f>
              <c:numCache>
                <c:formatCode>[$Rs-420]\ #,##0.00</c:formatCode>
                <c:ptCount val="4"/>
                <c:pt idx="0">
                  <c:v>6261</c:v>
                </c:pt>
                <c:pt idx="1">
                  <c:v>17928</c:v>
                </c:pt>
                <c:pt idx="2">
                  <c:v>6670</c:v>
                </c:pt>
                <c:pt idx="3">
                  <c:v>1732</c:v>
                </c:pt>
              </c:numCache>
            </c:numRef>
          </c:val>
          <c:extLst>
            <c:ext xmlns:c16="http://schemas.microsoft.com/office/drawing/2014/chart" uri="{C3380CC4-5D6E-409C-BE32-E72D297353CC}">
              <c16:uniqueId val="{00000000-8219-4FD2-B2EA-01C69878102F}"/>
            </c:ext>
          </c:extLst>
        </c:ser>
        <c:dLbls>
          <c:showLegendKey val="0"/>
          <c:showVal val="0"/>
          <c:showCatName val="0"/>
          <c:showSerName val="0"/>
          <c:showPercent val="0"/>
          <c:showBubbleSize val="0"/>
        </c:dLbls>
        <c:gapWidth val="219"/>
        <c:overlap val="-27"/>
        <c:axId val="2075700847"/>
        <c:axId val="2075704207"/>
      </c:barChart>
      <c:catAx>
        <c:axId val="207570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704207"/>
        <c:crosses val="autoZero"/>
        <c:auto val="1"/>
        <c:lblAlgn val="ctr"/>
        <c:lblOffset val="100"/>
        <c:noMultiLvlLbl val="0"/>
      </c:catAx>
      <c:valAx>
        <c:axId val="2075704207"/>
        <c:scaling>
          <c:orientation val="minMax"/>
        </c:scaling>
        <c:delete val="0"/>
        <c:axPos val="l"/>
        <c:majorGridlines>
          <c:spPr>
            <a:ln w="9525" cap="flat" cmpd="sng" algn="ctr">
              <a:solidFill>
                <a:schemeClr val="tx1">
                  <a:lumMod val="15000"/>
                  <a:lumOff val="85000"/>
                </a:schemeClr>
              </a:solidFill>
              <a:round/>
            </a:ln>
            <a:effectLst/>
          </c:spPr>
        </c:majorGridlines>
        <c:numFmt formatCode="[$Rs-420]\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70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[Book2.xlsx]sheeet1!PivotTable3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sheeet1!$C$10</c:f>
              <c:strCache>
                <c:ptCount val="1"/>
                <c:pt idx="0">
                  <c:v>Total</c:v>
                </c:pt>
              </c:strCache>
            </c:strRef>
          </c:tx>
          <c:spPr>
            <a:ln w="28575" cap="rnd">
              <a:solidFill>
                <a:schemeClr val="accent1"/>
              </a:solidFill>
              <a:round/>
            </a:ln>
            <a:effectLst/>
          </c:spPr>
          <c:marker>
            <c:symbol val="none"/>
          </c:marker>
          <c:cat>
            <c:strRef>
              <c:f>sheeet1!$B$11:$B$13</c:f>
              <c:strCache>
                <c:ptCount val="2"/>
                <c:pt idx="0">
                  <c:v>January</c:v>
                </c:pt>
                <c:pt idx="1">
                  <c:v>December</c:v>
                </c:pt>
              </c:strCache>
            </c:strRef>
          </c:cat>
          <c:val>
            <c:numRef>
              <c:f>sheeet1!$C$11:$C$13</c:f>
              <c:numCache>
                <c:formatCode>[$Rs-420]\ #,##0.00</c:formatCode>
                <c:ptCount val="2"/>
                <c:pt idx="0">
                  <c:v>9181</c:v>
                </c:pt>
                <c:pt idx="1">
                  <c:v>23410</c:v>
                </c:pt>
              </c:numCache>
            </c:numRef>
          </c:val>
          <c:smooth val="0"/>
          <c:extLst>
            <c:ext xmlns:c16="http://schemas.microsoft.com/office/drawing/2014/chart" uri="{C3380CC4-5D6E-409C-BE32-E72D297353CC}">
              <c16:uniqueId val="{00000000-B423-43F7-B2C3-C4836A376448}"/>
            </c:ext>
          </c:extLst>
        </c:ser>
        <c:dLbls>
          <c:showLegendKey val="0"/>
          <c:showVal val="0"/>
          <c:showCatName val="0"/>
          <c:showSerName val="0"/>
          <c:showPercent val="0"/>
          <c:showBubbleSize val="0"/>
        </c:dLbls>
        <c:smooth val="0"/>
        <c:axId val="2075628367"/>
        <c:axId val="2075628847"/>
      </c:lineChart>
      <c:catAx>
        <c:axId val="207562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628847"/>
        <c:crosses val="autoZero"/>
        <c:auto val="1"/>
        <c:lblAlgn val="ctr"/>
        <c:lblOffset val="100"/>
        <c:noMultiLvlLbl val="0"/>
      </c:catAx>
      <c:valAx>
        <c:axId val="2075628847"/>
        <c:scaling>
          <c:orientation val="minMax"/>
        </c:scaling>
        <c:delete val="0"/>
        <c:axPos val="l"/>
        <c:majorGridlines>
          <c:spPr>
            <a:ln w="9525" cap="flat" cmpd="sng" algn="ctr">
              <a:solidFill>
                <a:schemeClr val="tx1">
                  <a:lumMod val="15000"/>
                  <a:lumOff val="85000"/>
                </a:schemeClr>
              </a:solidFill>
              <a:round/>
            </a:ln>
            <a:effectLst/>
          </c:spPr>
        </c:majorGridlines>
        <c:numFmt formatCode="[$Rs-420]\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62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[Book2.xlsx]sheeet1!PivotTable7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sheeet1!$G$25</c:f>
              <c:strCache>
                <c:ptCount val="1"/>
                <c:pt idx="0">
                  <c:v>Total</c:v>
                </c:pt>
              </c:strCache>
            </c:strRef>
          </c:tx>
          <c:spPr>
            <a:solidFill>
              <a:schemeClr val="accent1"/>
            </a:solidFill>
            <a:ln>
              <a:noFill/>
            </a:ln>
            <a:effectLst/>
          </c:spPr>
          <c:invertIfNegative val="0"/>
          <c:cat>
            <c:strRef>
              <c:f>sheeet1!$F$26:$F$31</c:f>
              <c:strCache>
                <c:ptCount val="5"/>
                <c:pt idx="0">
                  <c:v>Deserunt Box</c:v>
                </c:pt>
                <c:pt idx="1">
                  <c:v>Harum Pack</c:v>
                </c:pt>
                <c:pt idx="2">
                  <c:v>Nam Gift</c:v>
                </c:pt>
                <c:pt idx="3">
                  <c:v>Quos Box</c:v>
                </c:pt>
                <c:pt idx="4">
                  <c:v>Sed Set</c:v>
                </c:pt>
              </c:strCache>
            </c:strRef>
          </c:cat>
          <c:val>
            <c:numRef>
              <c:f>sheeet1!$G$26:$G$31</c:f>
              <c:numCache>
                <c:formatCode>[$Rs-420]\ #,##0.00</c:formatCode>
                <c:ptCount val="5"/>
                <c:pt idx="0">
                  <c:v>44045</c:v>
                </c:pt>
                <c:pt idx="1">
                  <c:v>49140</c:v>
                </c:pt>
                <c:pt idx="2">
                  <c:v>46625</c:v>
                </c:pt>
                <c:pt idx="3">
                  <c:v>34472</c:v>
                </c:pt>
                <c:pt idx="4">
                  <c:v>35256</c:v>
                </c:pt>
              </c:numCache>
            </c:numRef>
          </c:val>
          <c:extLst>
            <c:ext xmlns:c16="http://schemas.microsoft.com/office/drawing/2014/chart" uri="{C3380CC4-5D6E-409C-BE32-E72D297353CC}">
              <c16:uniqueId val="{00000000-8998-438B-AB54-C0B8C2CA0267}"/>
            </c:ext>
          </c:extLst>
        </c:ser>
        <c:dLbls>
          <c:showLegendKey val="0"/>
          <c:showVal val="0"/>
          <c:showCatName val="0"/>
          <c:showSerName val="0"/>
          <c:showPercent val="0"/>
          <c:showBubbleSize val="0"/>
        </c:dLbls>
        <c:gapWidth val="219"/>
        <c:overlap val="-27"/>
        <c:axId val="2075676847"/>
        <c:axId val="2075677807"/>
      </c:barChart>
      <c:catAx>
        <c:axId val="207567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677807"/>
        <c:crosses val="autoZero"/>
        <c:auto val="1"/>
        <c:lblAlgn val="ctr"/>
        <c:lblOffset val="100"/>
        <c:noMultiLvlLbl val="0"/>
      </c:catAx>
      <c:valAx>
        <c:axId val="2075677807"/>
        <c:scaling>
          <c:orientation val="minMax"/>
        </c:scaling>
        <c:delete val="0"/>
        <c:axPos val="l"/>
        <c:majorGridlines>
          <c:spPr>
            <a:ln w="9525" cap="flat" cmpd="sng" algn="ctr">
              <a:solidFill>
                <a:schemeClr val="tx1">
                  <a:lumMod val="15000"/>
                  <a:lumOff val="85000"/>
                </a:schemeClr>
              </a:solidFill>
              <a:round/>
            </a:ln>
            <a:effectLst/>
          </c:spPr>
        </c:majorGridlines>
        <c:numFmt formatCode="[$Rs-420]\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67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[Book2.xlsx]sheeet1!PivotTable10</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sheeet1!$G$34</c:f>
              <c:strCache>
                <c:ptCount val="1"/>
                <c:pt idx="0">
                  <c:v>Total</c:v>
                </c:pt>
              </c:strCache>
            </c:strRef>
          </c:tx>
          <c:spPr>
            <a:solidFill>
              <a:schemeClr val="accent1"/>
            </a:solidFill>
            <a:ln>
              <a:noFill/>
            </a:ln>
            <a:effectLst/>
          </c:spPr>
          <c:invertIfNegative val="0"/>
          <c:cat>
            <c:strRef>
              <c:f>sheeet1!$F$35:$F$41</c:f>
              <c:strCache>
                <c:ptCount val="6"/>
                <c:pt idx="0">
                  <c:v>Faisalabad</c:v>
                </c:pt>
                <c:pt idx="1">
                  <c:v>Islamabad</c:v>
                </c:pt>
                <c:pt idx="2">
                  <c:v>Karachi</c:v>
                </c:pt>
                <c:pt idx="3">
                  <c:v>Lahore</c:v>
                </c:pt>
                <c:pt idx="4">
                  <c:v>Multan</c:v>
                </c:pt>
                <c:pt idx="5">
                  <c:v>Rawalpindi</c:v>
                </c:pt>
              </c:strCache>
            </c:strRef>
          </c:cat>
          <c:val>
            <c:numRef>
              <c:f>sheeet1!$G$35:$G$41</c:f>
              <c:numCache>
                <c:formatCode>General</c:formatCode>
                <c:ptCount val="6"/>
                <c:pt idx="0">
                  <c:v>3</c:v>
                </c:pt>
                <c:pt idx="1">
                  <c:v>1</c:v>
                </c:pt>
                <c:pt idx="2">
                  <c:v>3</c:v>
                </c:pt>
                <c:pt idx="3">
                  <c:v>1</c:v>
                </c:pt>
                <c:pt idx="4">
                  <c:v>1</c:v>
                </c:pt>
                <c:pt idx="5">
                  <c:v>3</c:v>
                </c:pt>
              </c:numCache>
            </c:numRef>
          </c:val>
          <c:extLst>
            <c:ext xmlns:c16="http://schemas.microsoft.com/office/drawing/2014/chart" uri="{C3380CC4-5D6E-409C-BE32-E72D297353CC}">
              <c16:uniqueId val="{00000000-6208-4F2F-B232-47C222B5D150}"/>
            </c:ext>
          </c:extLst>
        </c:ser>
        <c:dLbls>
          <c:showLegendKey val="0"/>
          <c:showVal val="0"/>
          <c:showCatName val="0"/>
          <c:showSerName val="0"/>
          <c:showPercent val="0"/>
          <c:showBubbleSize val="0"/>
        </c:dLbls>
        <c:gapWidth val="219"/>
        <c:overlap val="-27"/>
        <c:axId val="451829168"/>
        <c:axId val="451830128"/>
      </c:barChart>
      <c:catAx>
        <c:axId val="45182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830128"/>
        <c:crosses val="autoZero"/>
        <c:auto val="1"/>
        <c:lblAlgn val="ctr"/>
        <c:lblOffset val="100"/>
        <c:noMultiLvlLbl val="0"/>
      </c:catAx>
      <c:valAx>
        <c:axId val="45183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82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[Book2.xlsx]sheeet1!PivotTable12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sheeet1!$J$24</c:f>
              <c:strCache>
                <c:ptCount val="1"/>
                <c:pt idx="0">
                  <c:v>Total</c:v>
                </c:pt>
              </c:strCache>
            </c:strRef>
          </c:tx>
          <c:spPr>
            <a:solidFill>
              <a:schemeClr val="accent1"/>
            </a:solidFill>
            <a:ln>
              <a:noFill/>
            </a:ln>
            <a:effectLst/>
          </c:spPr>
          <c:invertIfNegative val="0"/>
          <c:cat>
            <c:strRef>
              <c:f>sheeet1!$I$25:$I$31</c:f>
              <c:strCache>
                <c:ptCount val="6"/>
                <c:pt idx="0">
                  <c:v>Friday</c:v>
                </c:pt>
                <c:pt idx="1">
                  <c:v>Monday</c:v>
                </c:pt>
                <c:pt idx="2">
                  <c:v>Saturday</c:v>
                </c:pt>
                <c:pt idx="3">
                  <c:v>Sunday</c:v>
                </c:pt>
                <c:pt idx="4">
                  <c:v>Thursday</c:v>
                </c:pt>
                <c:pt idx="5">
                  <c:v>Wednesday</c:v>
                </c:pt>
              </c:strCache>
            </c:strRef>
          </c:cat>
          <c:val>
            <c:numRef>
              <c:f>sheeet1!$J$25:$J$31</c:f>
              <c:numCache>
                <c:formatCode>[$Rs-420]\ #,##0.00</c:formatCode>
                <c:ptCount val="6"/>
                <c:pt idx="0">
                  <c:v>518</c:v>
                </c:pt>
                <c:pt idx="1">
                  <c:v>4914</c:v>
                </c:pt>
                <c:pt idx="2">
                  <c:v>1295</c:v>
                </c:pt>
                <c:pt idx="3">
                  <c:v>3905</c:v>
                </c:pt>
                <c:pt idx="4">
                  <c:v>12103</c:v>
                </c:pt>
                <c:pt idx="5">
                  <c:v>9856</c:v>
                </c:pt>
              </c:numCache>
            </c:numRef>
          </c:val>
          <c:extLst>
            <c:ext xmlns:c16="http://schemas.microsoft.com/office/drawing/2014/chart" uri="{C3380CC4-5D6E-409C-BE32-E72D297353CC}">
              <c16:uniqueId val="{00000000-F481-4602-8A48-27C12B060EB9}"/>
            </c:ext>
          </c:extLst>
        </c:ser>
        <c:dLbls>
          <c:showLegendKey val="0"/>
          <c:showVal val="0"/>
          <c:showCatName val="0"/>
          <c:showSerName val="0"/>
          <c:showPercent val="0"/>
          <c:showBubbleSize val="0"/>
        </c:dLbls>
        <c:gapWidth val="219"/>
        <c:overlap val="-27"/>
        <c:axId val="2075718127"/>
        <c:axId val="2075718607"/>
      </c:barChart>
      <c:catAx>
        <c:axId val="207571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718607"/>
        <c:crosses val="autoZero"/>
        <c:auto val="1"/>
        <c:lblAlgn val="ctr"/>
        <c:lblOffset val="100"/>
        <c:noMultiLvlLbl val="0"/>
      </c:catAx>
      <c:valAx>
        <c:axId val="2075718607"/>
        <c:scaling>
          <c:orientation val="minMax"/>
        </c:scaling>
        <c:delete val="0"/>
        <c:axPos val="l"/>
        <c:majorGridlines>
          <c:spPr>
            <a:ln w="9525" cap="flat" cmpd="sng" algn="ctr">
              <a:solidFill>
                <a:schemeClr val="tx1">
                  <a:lumMod val="15000"/>
                  <a:lumOff val="85000"/>
                </a:schemeClr>
              </a:solidFill>
              <a:round/>
            </a:ln>
            <a:effectLst/>
          </c:spPr>
        </c:majorGridlines>
        <c:numFmt formatCode="[$Rs-420]\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718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266700</xdr:colOff>
      <xdr:row>37</xdr:row>
      <xdr:rowOff>0</xdr:rowOff>
    </xdr:from>
    <xdr:to>
      <xdr:col>14</xdr:col>
      <xdr:colOff>243840</xdr:colOff>
      <xdr:row>51</xdr:row>
      <xdr:rowOff>28575</xdr:rowOff>
    </xdr:to>
    <mc:AlternateContent xmlns:mc="http://schemas.openxmlformats.org/markup-compatibility/2006" xmlns:a14="http://schemas.microsoft.com/office/drawing/2010/main">
      <mc:Choice Requires="a14">
        <xdr:graphicFrame macro="">
          <xdr:nvGraphicFramePr>
            <xdr:cNvPr id="3" name="Occasion">
              <a:extLst>
                <a:ext uri="{FF2B5EF4-FFF2-40B4-BE49-F238E27FC236}">
                  <a16:creationId xmlns:a16="http://schemas.microsoft.com/office/drawing/2014/main" id="{DD5BD4C8-98D8-981A-02E2-786B0E5137F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820400" y="6766560"/>
              <a:ext cx="1828800" cy="25888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129522</xdr:colOff>
      <xdr:row>7</xdr:row>
      <xdr:rowOff>185700</xdr:rowOff>
    </xdr:from>
    <xdr:to>
      <xdr:col>7</xdr:col>
      <xdr:colOff>429484</xdr:colOff>
      <xdr:row>22</xdr:row>
      <xdr:rowOff>185700</xdr:rowOff>
    </xdr:to>
    <xdr:graphicFrame macro="">
      <xdr:nvGraphicFramePr>
        <xdr:cNvPr id="2" name="Chart 1">
          <a:extLst>
            <a:ext uri="{FF2B5EF4-FFF2-40B4-BE49-F238E27FC236}">
              <a16:creationId xmlns:a16="http://schemas.microsoft.com/office/drawing/2014/main" id="{8341796E-CA8A-4134-9A13-7E5FE58FD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578849</xdr:colOff>
      <xdr:row>8</xdr:row>
      <xdr:rowOff>9275</xdr:rowOff>
    </xdr:from>
    <xdr:to>
      <xdr:col>15</xdr:col>
      <xdr:colOff>274048</xdr:colOff>
      <xdr:row>23</xdr:row>
      <xdr:rowOff>9276</xdr:rowOff>
    </xdr:to>
    <xdr:graphicFrame macro="">
      <xdr:nvGraphicFramePr>
        <xdr:cNvPr id="3" name="Chart 2">
          <a:extLst>
            <a:ext uri="{FF2B5EF4-FFF2-40B4-BE49-F238E27FC236}">
              <a16:creationId xmlns:a16="http://schemas.microsoft.com/office/drawing/2014/main" id="{68B7E6B3-21AC-42DB-BC21-C76A9EA40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108486</xdr:colOff>
      <xdr:row>24</xdr:row>
      <xdr:rowOff>15817</xdr:rowOff>
    </xdr:from>
    <xdr:to>
      <xdr:col>7</xdr:col>
      <xdr:colOff>413286</xdr:colOff>
      <xdr:row>39</xdr:row>
      <xdr:rowOff>118720</xdr:rowOff>
    </xdr:to>
    <xdr:graphicFrame macro="">
      <xdr:nvGraphicFramePr>
        <xdr:cNvPr id="4" name="Chart 3">
          <a:extLst>
            <a:ext uri="{FF2B5EF4-FFF2-40B4-BE49-F238E27FC236}">
              <a16:creationId xmlns:a16="http://schemas.microsoft.com/office/drawing/2014/main" id="{572CCC64-A412-4B79-9B28-FF9CC606B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568477</xdr:colOff>
      <xdr:row>24</xdr:row>
      <xdr:rowOff>-1</xdr:rowOff>
    </xdr:from>
    <xdr:to>
      <xdr:col>15</xdr:col>
      <xdr:colOff>268514</xdr:colOff>
      <xdr:row>39</xdr:row>
      <xdr:rowOff>140676</xdr:rowOff>
    </xdr:to>
    <xdr:graphicFrame macro="">
      <xdr:nvGraphicFramePr>
        <xdr:cNvPr id="5" name="Chart 4">
          <a:extLst>
            <a:ext uri="{FF2B5EF4-FFF2-40B4-BE49-F238E27FC236}">
              <a16:creationId xmlns:a16="http://schemas.microsoft.com/office/drawing/2014/main" id="{8DE31473-EA0B-46E9-8D70-B40185014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439680</xdr:colOff>
      <xdr:row>8</xdr:row>
      <xdr:rowOff>2</xdr:rowOff>
    </xdr:from>
    <xdr:to>
      <xdr:col>23</xdr:col>
      <xdr:colOff>134881</xdr:colOff>
      <xdr:row>22</xdr:row>
      <xdr:rowOff>175846</xdr:rowOff>
    </xdr:to>
    <xdr:graphicFrame macro="">
      <xdr:nvGraphicFramePr>
        <xdr:cNvPr id="6" name="Chart 5">
          <a:extLst>
            <a:ext uri="{FF2B5EF4-FFF2-40B4-BE49-F238E27FC236}">
              <a16:creationId xmlns:a16="http://schemas.microsoft.com/office/drawing/2014/main" id="{43505956-D2B0-4E0B-BD8E-49A17DA59C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445105</xdr:colOff>
      <xdr:row>23</xdr:row>
      <xdr:rowOff>180686</xdr:rowOff>
    </xdr:from>
    <xdr:to>
      <xdr:col>23</xdr:col>
      <xdr:colOff>140306</xdr:colOff>
      <xdr:row>39</xdr:row>
      <xdr:rowOff>152400</xdr:rowOff>
    </xdr:to>
    <xdr:graphicFrame macro="">
      <xdr:nvGraphicFramePr>
        <xdr:cNvPr id="7" name="Chart 6">
          <a:extLst>
            <a:ext uri="{FF2B5EF4-FFF2-40B4-BE49-F238E27FC236}">
              <a16:creationId xmlns:a16="http://schemas.microsoft.com/office/drawing/2014/main" id="{D717EA71-2D79-4969-8041-E9D3D89402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296295</xdr:colOff>
      <xdr:row>2</xdr:row>
      <xdr:rowOff>89070</xdr:rowOff>
    </xdr:from>
    <xdr:to>
      <xdr:col>8</xdr:col>
      <xdr:colOff>296295</xdr:colOff>
      <xdr:row>6</xdr:row>
      <xdr:rowOff>28110</xdr:rowOff>
    </xdr:to>
    <xdr:sp macro="" textlink="">
      <xdr:nvSpPr>
        <xdr:cNvPr id="12" name="Rectangle: Rounded Corners 11">
          <a:extLst>
            <a:ext uri="{FF2B5EF4-FFF2-40B4-BE49-F238E27FC236}">
              <a16:creationId xmlns:a16="http://schemas.microsoft.com/office/drawing/2014/main" id="{6AC8E441-C12F-0A06-8366-E5B19A3B221F}"/>
            </a:ext>
          </a:extLst>
        </xdr:cNvPr>
        <xdr:cNvSpPr/>
      </xdr:nvSpPr>
      <xdr:spPr>
        <a:xfrm>
          <a:off x="3355027" y="453971"/>
          <a:ext cx="1835240" cy="6688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Rs 3,321.28</a:t>
          </a:r>
        </a:p>
        <a:p>
          <a:pPr algn="ctr"/>
          <a:r>
            <a:rPr lang="en-US" sz="1400"/>
            <a:t>Average</a:t>
          </a:r>
          <a:r>
            <a:rPr lang="en-US" sz="1200" baseline="0"/>
            <a:t> </a:t>
          </a:r>
          <a:r>
            <a:rPr lang="en-US" sz="1400" baseline="0"/>
            <a:t>Revenue</a:t>
          </a:r>
        </a:p>
        <a:p>
          <a:pPr algn="ctr"/>
          <a:endParaRPr lang="en-US" sz="1100"/>
        </a:p>
      </xdr:txBody>
    </xdr:sp>
    <xdr:clientData/>
  </xdr:twoCellAnchor>
  <xdr:twoCellAnchor>
    <xdr:from>
      <xdr:col>10</xdr:col>
      <xdr:colOff>101130</xdr:colOff>
      <xdr:row>2</xdr:row>
      <xdr:rowOff>98240</xdr:rowOff>
    </xdr:from>
    <xdr:to>
      <xdr:col>13</xdr:col>
      <xdr:colOff>101131</xdr:colOff>
      <xdr:row>6</xdr:row>
      <xdr:rowOff>37280</xdr:rowOff>
    </xdr:to>
    <xdr:sp macro="" textlink="sheeet1!F11">
      <xdr:nvSpPr>
        <xdr:cNvPr id="13" name="Rectangle: Rounded Corners 12">
          <a:extLst>
            <a:ext uri="{FF2B5EF4-FFF2-40B4-BE49-F238E27FC236}">
              <a16:creationId xmlns:a16="http://schemas.microsoft.com/office/drawing/2014/main" id="{0BB46C30-0FD6-4393-A8C9-428AD7F27C1F}"/>
            </a:ext>
          </a:extLst>
        </xdr:cNvPr>
        <xdr:cNvSpPr/>
      </xdr:nvSpPr>
      <xdr:spPr>
        <a:xfrm>
          <a:off x="6218595" y="463141"/>
          <a:ext cx="1835240" cy="6688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6A4726D-7172-4DDE-B764-68C7513D9385}" type="TxLink">
            <a:rPr lang="en-US" sz="1400" b="0" i="0" u="none" strike="noStrike">
              <a:solidFill>
                <a:schemeClr val="bg1"/>
              </a:solidFill>
              <a:latin typeface="Aptos Narrow"/>
            </a:rPr>
            <a:pPr algn="ctr"/>
            <a:t>4.416666667</a:t>
          </a:fld>
          <a:endParaRPr lang="en-US" sz="1400" b="0" i="0" u="none" strike="noStrike">
            <a:solidFill>
              <a:schemeClr val="bg1"/>
            </a:solidFill>
            <a:latin typeface="Aptos Narrow"/>
          </a:endParaRPr>
        </a:p>
        <a:p>
          <a:pPr algn="ctr"/>
          <a:r>
            <a:rPr lang="en-US" sz="1400" b="0" i="0" u="none" strike="noStrike">
              <a:solidFill>
                <a:schemeClr val="bg1"/>
              </a:solidFill>
              <a:latin typeface="Aptos Narrow"/>
            </a:rPr>
            <a:t>AVG</a:t>
          </a:r>
          <a:r>
            <a:rPr lang="en-US" sz="1400" b="0" i="0" u="none" strike="noStrike" baseline="0">
              <a:solidFill>
                <a:schemeClr val="bg1"/>
              </a:solidFill>
              <a:latin typeface="Aptos Narrow"/>
            </a:rPr>
            <a:t>  btw  Order and Delivary</a:t>
          </a:r>
          <a:endParaRPr lang="en-US" sz="1400">
            <a:solidFill>
              <a:schemeClr val="bg1"/>
            </a:solidFill>
          </a:endParaRPr>
        </a:p>
      </xdr:txBody>
    </xdr:sp>
    <xdr:clientData/>
  </xdr:twoCellAnchor>
  <xdr:twoCellAnchor>
    <xdr:from>
      <xdr:col>14</xdr:col>
      <xdr:colOff>418563</xdr:colOff>
      <xdr:row>2</xdr:row>
      <xdr:rowOff>85860</xdr:rowOff>
    </xdr:from>
    <xdr:to>
      <xdr:col>17</xdr:col>
      <xdr:colOff>425426</xdr:colOff>
      <xdr:row>6</xdr:row>
      <xdr:rowOff>46450</xdr:rowOff>
    </xdr:to>
    <xdr:sp macro="" textlink="sheeet1!G11">
      <xdr:nvSpPr>
        <xdr:cNvPr id="14" name="Rectangle: Rounded Corners 13">
          <a:extLst>
            <a:ext uri="{FF2B5EF4-FFF2-40B4-BE49-F238E27FC236}">
              <a16:creationId xmlns:a16="http://schemas.microsoft.com/office/drawing/2014/main" id="{5120A566-4AAA-4920-9CAE-0B118112FFC2}"/>
            </a:ext>
          </a:extLst>
        </xdr:cNvPr>
        <xdr:cNvSpPr/>
      </xdr:nvSpPr>
      <xdr:spPr>
        <a:xfrm>
          <a:off x="8983014" y="450761"/>
          <a:ext cx="1842102" cy="690393"/>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530504F-247D-4419-BC87-25A3DA5D7A38}" type="TxLink">
            <a:rPr lang="en-US" sz="1400" b="0" i="0" u="none" strike="noStrike">
              <a:solidFill>
                <a:schemeClr val="bg1"/>
              </a:solidFill>
              <a:latin typeface="Aptos Narrow"/>
            </a:rPr>
            <a:pPr algn="ctr"/>
            <a:t>Rs 1,657,317.00</a:t>
          </a:fld>
          <a:endParaRPr lang="en-US" sz="1400" b="0" i="0" u="none" strike="noStrike">
            <a:solidFill>
              <a:schemeClr val="bg1"/>
            </a:solidFill>
            <a:latin typeface="Aptos Narrow"/>
          </a:endParaRPr>
        </a:p>
        <a:p>
          <a:pPr algn="ctr"/>
          <a:r>
            <a:rPr lang="en-US" sz="1400" b="0" i="0" u="none" strike="noStrike">
              <a:solidFill>
                <a:schemeClr val="bg1"/>
              </a:solidFill>
              <a:latin typeface="Aptos Narrow"/>
            </a:rPr>
            <a:t>Sum of Revenue</a:t>
          </a:r>
          <a:endParaRPr lang="en-US" sz="1400">
            <a:solidFill>
              <a:schemeClr val="bg1"/>
            </a:solidFill>
          </a:endParaRPr>
        </a:p>
      </xdr:txBody>
    </xdr:sp>
    <xdr:clientData/>
  </xdr:twoCellAnchor>
  <xdr:twoCellAnchor>
    <xdr:from>
      <xdr:col>18</xdr:col>
      <xdr:colOff>599057</xdr:colOff>
      <xdr:row>2</xdr:row>
      <xdr:rowOff>90912</xdr:rowOff>
    </xdr:from>
    <xdr:to>
      <xdr:col>21</xdr:col>
      <xdr:colOff>599058</xdr:colOff>
      <xdr:row>6</xdr:row>
      <xdr:rowOff>36708</xdr:rowOff>
    </xdr:to>
    <xdr:sp macro="" textlink="sheeet1!L20">
      <xdr:nvSpPr>
        <xdr:cNvPr id="15" name="Rectangle: Rounded Corners 14">
          <a:extLst>
            <a:ext uri="{FF2B5EF4-FFF2-40B4-BE49-F238E27FC236}">
              <a16:creationId xmlns:a16="http://schemas.microsoft.com/office/drawing/2014/main" id="{B5D8307D-FF5A-4328-A5A5-6C7F90409D5C}"/>
            </a:ext>
          </a:extLst>
        </xdr:cNvPr>
        <xdr:cNvSpPr/>
      </xdr:nvSpPr>
      <xdr:spPr>
        <a:xfrm>
          <a:off x="11610494" y="455813"/>
          <a:ext cx="1835240" cy="6755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873488E-60D3-4613-8C45-960C2C59B45B}" type="TxLink">
            <a:rPr lang="en-US" sz="1400" b="0" i="0" u="none" strike="noStrike">
              <a:solidFill>
                <a:schemeClr val="bg1"/>
              </a:solidFill>
              <a:latin typeface="Aptos Narrow"/>
            </a:rPr>
            <a:pPr algn="ctr"/>
            <a:t>499</a:t>
          </a:fld>
          <a:endParaRPr lang="en-US" sz="1400" b="0" i="0" u="none" strike="noStrike">
            <a:solidFill>
              <a:schemeClr val="bg1"/>
            </a:solidFill>
            <a:latin typeface="Aptos Narrow"/>
          </a:endParaRPr>
        </a:p>
        <a:p>
          <a:pPr algn="ctr"/>
          <a:r>
            <a:rPr lang="en-US" sz="1400" b="0" i="0" u="none" strike="noStrike">
              <a:solidFill>
                <a:schemeClr val="bg1"/>
              </a:solidFill>
              <a:latin typeface="Aptos Narrow"/>
            </a:rPr>
            <a:t>Total Order</a:t>
          </a:r>
          <a:endParaRPr lang="en-US" sz="1400">
            <a:solidFill>
              <a:schemeClr val="bg1"/>
            </a:solidFill>
          </a:endParaRPr>
        </a:p>
      </xdr:txBody>
    </xdr:sp>
    <xdr:clientData/>
  </xdr:twoCellAnchor>
  <xdr:twoCellAnchor editAs="oneCell">
    <xdr:from>
      <xdr:col>23</xdr:col>
      <xdr:colOff>367321</xdr:colOff>
      <xdr:row>21</xdr:row>
      <xdr:rowOff>0</xdr:rowOff>
    </xdr:from>
    <xdr:to>
      <xdr:col>27</xdr:col>
      <xdr:colOff>550984</xdr:colOff>
      <xdr:row>39</xdr:row>
      <xdr:rowOff>150254</xdr:rowOff>
    </xdr:to>
    <mc:AlternateContent xmlns:mc="http://schemas.openxmlformats.org/markup-compatibility/2006" xmlns:a14="http://schemas.microsoft.com/office/drawing/2010/main">
      <mc:Choice Requires="a14">
        <xdr:graphicFrame macro="">
          <xdr:nvGraphicFramePr>
            <xdr:cNvPr id="16" name="Occasion 1">
              <a:extLst>
                <a:ext uri="{FF2B5EF4-FFF2-40B4-BE49-F238E27FC236}">
                  <a16:creationId xmlns:a16="http://schemas.microsoft.com/office/drawing/2014/main" id="{82B13338-E3AD-4A8A-9A15-0E81E55F6356}"/>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4445583" y="3934918"/>
              <a:ext cx="2632057" cy="35230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493690</xdr:colOff>
      <xdr:row>1</xdr:row>
      <xdr:rowOff>37819</xdr:rowOff>
    </xdr:from>
    <xdr:to>
      <xdr:col>27</xdr:col>
      <xdr:colOff>139522</xdr:colOff>
      <xdr:row>7</xdr:row>
      <xdr:rowOff>89987</xdr:rowOff>
    </xdr:to>
    <mc:AlternateContent xmlns:mc="http://schemas.openxmlformats.org/markup-compatibility/2006" xmlns:tsle="http://schemas.microsoft.com/office/drawing/2012/timeslicer">
      <mc:Choice Requires="tsle">
        <xdr:graphicFrame macro="">
          <xdr:nvGraphicFramePr>
            <xdr:cNvPr id="17" name="Order_date">
              <a:extLst>
                <a:ext uri="{FF2B5EF4-FFF2-40B4-BE49-F238E27FC236}">
                  <a16:creationId xmlns:a16="http://schemas.microsoft.com/office/drawing/2014/main" id="{37AA72AF-154F-97C3-ED97-7FC9FF284AB6}"/>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571952" y="225196"/>
              <a:ext cx="2094226" cy="117643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23</xdr:col>
      <xdr:colOff>495483</xdr:colOff>
      <xdr:row>8</xdr:row>
      <xdr:rowOff>47437</xdr:rowOff>
    </xdr:from>
    <xdr:to>
      <xdr:col>27</xdr:col>
      <xdr:colOff>245195</xdr:colOff>
      <xdr:row>20</xdr:row>
      <xdr:rowOff>42930</xdr:rowOff>
    </xdr:to>
    <mc:AlternateContent xmlns:mc="http://schemas.openxmlformats.org/markup-compatibility/2006" xmlns:tsle="http://schemas.microsoft.com/office/drawing/2012/timeslicer">
      <mc:Choice Requires="tsle">
        <xdr:graphicFrame macro="">
          <xdr:nvGraphicFramePr>
            <xdr:cNvPr id="18" name="Delivary_date">
              <a:extLst>
                <a:ext uri="{FF2B5EF4-FFF2-40B4-BE49-F238E27FC236}">
                  <a16:creationId xmlns:a16="http://schemas.microsoft.com/office/drawing/2014/main" id="{FC627A63-1D71-C146-052E-A908F30F1D75}"/>
                </a:ext>
              </a:extLst>
            </xdr:cNvPr>
            <xdr:cNvGraphicFramePr/>
          </xdr:nvGraphicFramePr>
          <xdr:xfrm>
            <a:off x="0" y="0"/>
            <a:ext cx="0" cy="0"/>
          </xdr:xfrm>
          <a:graphic>
            <a:graphicData uri="http://schemas.microsoft.com/office/drawing/2012/timeslicer">
              <tsle:timeslicer name="Delivary_date"/>
            </a:graphicData>
          </a:graphic>
        </xdr:graphicFrame>
      </mc:Choice>
      <mc:Fallback xmlns="">
        <xdr:sp macro="" textlink="">
          <xdr:nvSpPr>
            <xdr:cNvPr id="0" name=""/>
            <xdr:cNvSpPr>
              <a:spLocks noTextEdit="1"/>
            </xdr:cNvSpPr>
          </xdr:nvSpPr>
          <xdr:spPr>
            <a:xfrm>
              <a:off x="14573745" y="1546453"/>
              <a:ext cx="2198106" cy="224401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193183</xdr:colOff>
      <xdr:row>1</xdr:row>
      <xdr:rowOff>118056</xdr:rowOff>
    </xdr:from>
    <xdr:to>
      <xdr:col>4</xdr:col>
      <xdr:colOff>214648</xdr:colOff>
      <xdr:row>6</xdr:row>
      <xdr:rowOff>128789</xdr:rowOff>
    </xdr:to>
    <xdr:sp macro="" textlink="">
      <xdr:nvSpPr>
        <xdr:cNvPr id="19" name="Rectangle: Rounded Corners 18">
          <a:extLst>
            <a:ext uri="{FF2B5EF4-FFF2-40B4-BE49-F238E27FC236}">
              <a16:creationId xmlns:a16="http://schemas.microsoft.com/office/drawing/2014/main" id="{7E36DC73-6ECD-DC72-46AE-8D20B77C8345}"/>
            </a:ext>
          </a:extLst>
        </xdr:cNvPr>
        <xdr:cNvSpPr/>
      </xdr:nvSpPr>
      <xdr:spPr>
        <a:xfrm>
          <a:off x="193183" y="300507"/>
          <a:ext cx="2468451" cy="9229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      </a:t>
          </a:r>
          <a:r>
            <a:rPr lang="en-US" sz="2000" b="1">
              <a:solidFill>
                <a:schemeClr val="lt1"/>
              </a:solidFill>
              <a:effectLst/>
              <a:latin typeface="+mn-lt"/>
              <a:ea typeface="+mn-ea"/>
              <a:cs typeface="+mn-cs"/>
            </a:rPr>
            <a:t>Sales</a:t>
          </a:r>
          <a:r>
            <a:rPr lang="en-US" sz="2000" b="1" baseline="0">
              <a:solidFill>
                <a:schemeClr val="lt1"/>
              </a:solidFill>
              <a:effectLst/>
              <a:latin typeface="+mn-lt"/>
              <a:ea typeface="+mn-ea"/>
              <a:cs typeface="+mn-cs"/>
            </a:rPr>
            <a:t> Analysis</a:t>
          </a:r>
          <a:endParaRPr lang="en-US" sz="20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8.810558449077" backgroundQuery="1" createdVersion="8" refreshedVersion="8" minRefreshableVersion="3" recordCount="0" supportSubquery="1" supportAdvancedDrill="1" xr:uid="{A09C7CE7-6B8D-411D-8724-ED702661BCF4}">
  <cacheSource type="external" connectionId="5"/>
  <cacheFields count="5">
    <cacheField name="[products].[Category].[Category]" caption="Category" numFmtId="0" hierarchy="34" level="1">
      <sharedItems count="6">
        <s v="Cake"/>
        <s v="Colors"/>
        <s v="Mugs"/>
        <s v="Plants"/>
        <s v="Soft Toys"/>
        <s v="Sweets"/>
      </sharedItems>
    </cacheField>
    <cacheField name="[Measures].[Sum of Revenue]" caption="Sum of Revenue" numFmtId="0" hierarchy="46" level="32767"/>
    <cacheField name="[Order].[Month Name].[Month Name]" caption="Month Name" numFmtId="0" hierarchy="22"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5">
        <s v="Deserunt Box"/>
        <s v="Harum Pack"/>
        <s v="Nam Gift"/>
        <s v="Quos Box"/>
        <s v="Sed Set"/>
      </sharedItems>
    </cacheField>
    <cacheField name="[Order].[Occasion].[Occasion]" caption="Occasion" numFmtId="0" hierarchy="21"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Data].[Name]" caption="Name" attribute="1" defaultMemberUniqueName="[ExcelProjectData].[Name].[All]" allUniqueName="[ExcelProjectData].[Name].[All]" dimensionUniqueName="[ExcelProjectData]" displayFolder="" count="0" memberValueDatatype="130" unbalanced="0"/>
    <cacheHierarchy uniqueName="[ExcelProjectData].[Extension]" caption="Extension" attribute="1" defaultMemberUniqueName="[ExcelProjectData].[Extension].[All]" allUniqueName="[ExcelProjectData].[Extension].[All]" dimensionUniqueName="[ExcelProjectData]" displayFolder="" count="0" memberValueDatatype="130" unbalanced="0"/>
    <cacheHierarchy uniqueName="[ExcelProjectData].[Date accessed]" caption="Date accessed" attribute="1" time="1" defaultMemberUniqueName="[ExcelProjectData].[Date accessed].[All]" allUniqueName="[ExcelProjectData].[Date accessed].[All]" dimensionUniqueName="[ExcelProjectData]" displayFolder="" count="0" memberValueDatatype="7" unbalanced="0"/>
    <cacheHierarchy uniqueName="[ExcelProjectData].[Date modified]" caption="Date modified" attribute="1" time="1" defaultMemberUniqueName="[ExcelProjectData].[Date modified].[All]" allUniqueName="[ExcelProjectData].[Date modified].[All]" dimensionUniqueName="[ExcelProjectData]" displayFolder="" count="0" memberValueDatatype="7" unbalanced="0"/>
    <cacheHierarchy uniqueName="[ExcelProjectData].[Date created]" caption="Date created" attribute="1" time="1" defaultMemberUniqueName="[ExcelProjectData].[Date created].[All]" allUniqueName="[ExcelProjectData].[Date created].[All]" dimensionUniqueName="[ExcelProjectData]" displayFolder="" count="0" memberValueDatatype="7" unbalanced="0"/>
    <cacheHierarchy uniqueName="[ExcelProjectData].[Folder Path]" caption="Folder Path" attribute="1" defaultMemberUniqueName="[ExcelProjectData].[Folder Path].[All]" allUniqueName="[ExcelProjectData].[Folder Path].[All]" dimensionUniqueName="[ExcelProject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ary_date]" caption="Delivary_date" attribute="1" time="1" defaultMemberUniqueName="[Order].[Delivary_date].[All]" allUniqueName="[Order].[Deliva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2"/>
      </fieldsUsage>
    </cacheHierarchy>
    <cacheHierarchy uniqueName="[Order].[Hour(Order_Time)]" caption="Hour(Order_Time)" attribute="1" defaultMemberUniqueName="[Order].[Hour(Order_Time)].[All]" allUniqueName="[Order].[Hour(Order_Time)].[All]" dimensionUniqueName="[Order]" displayFolder="" count="0" memberValueDatatype="20" unbalanced="0"/>
    <cacheHierarchy uniqueName="[Order].[Hour(Delivary_Time)]" caption="Hour(Delivary_Time)" attribute="1" defaultMemberUniqueName="[Order].[Hour(Delivary_Time)].[All]" allUniqueName="[Order].[Hour(Delivary_Time)].[All]" dimensionUniqueName="[Order]" displayFolder="" count="0" memberValueDatatype="20" unbalanced="0"/>
    <cacheHierarchy uniqueName="[Order].[Diff_order_delivary]" caption="Diff_order_delivary" attribute="1" defaultMemberUniqueName="[Order].[Diff_order_delivary].[All]" allUniqueName="[Order].[Diff_order_delivary].[All]" dimensionUniqueName="[Order]" displayFolder="" count="0" memberValueDatatype="20" unbalanced="0"/>
    <cacheHierarchy uniqueName="[Order].[Price (PKR)]" caption="Price (PKR)" attribute="1" defaultMemberUniqueName="[Order].[Price (PKR)].[All]" allUniqueName="[Order].[Price (PK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Order_date (Year)]" caption="Order_date (Year)" attribute="1" defaultMemberUniqueName="[Order].[Order_date (Year)].[All]" allUniqueName="[Order].[Order_date (Year)].[All]" dimensionUniqueName="[Order]" displayFolder="" count="0"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PKR)]" caption="Price (PKR)" attribute="1" defaultMemberUniqueName="[products].[Price (PKR)].[All]" allUniqueName="[products].[Price (PKR)].[All]" dimensionUniqueName="[products]" displayFolder="" count="0" memberValueDatatype="2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Ocassion]" caption="Ocassion" attribute="1" defaultMemberUniqueName="[products].[Ocassion].[All]" allUniqueName="[products].[Ocassion].[All]" dimensionUniqueName="[products]" displayFolder="" count="0" memberValueDatatype="130" unbalanced="0"/>
    <cacheHierarchy uniqueName="[products].[Column1]" caption="Column1" attribute="1" defaultMemberUniqueName="[products].[Column1].[All]" allUniqueName="[products].[Column1].[All]" dimensionUniqueName="[product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XL_Count ExcelProjectData]" caption="__XL_Count ExcelProjectData" measure="1" displayFolder="" measureGroup="ExcelProjectData" count="0" hidden="1"/>
    <cacheHierarchy uniqueName="[Measures].[__No measures defined]" caption="__No measures defined" measure="1" displayFolder="" count="0" hidden="1"/>
    <cacheHierarchy uniqueName="[Measures].[Sum of Price (PKR)]" caption="Sum of Price (PKR)"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Diff_order_delivary]" caption="Sum of Diff_order_delivary" measure="1" displayFolder="" measureGroup="Order" count="0" hidden="1">
      <extLst>
        <ext xmlns:x15="http://schemas.microsoft.com/office/spreadsheetml/2010/11/main" uri="{B97F6D7D-B522-45F9-BDA1-12C45D357490}">
          <x15:cacheHierarchy aggregatedColumn="25"/>
        </ext>
      </extLst>
    </cacheHierarchy>
    <cacheHierarchy uniqueName="[Measures].[Average of Diff_order_delivary]" caption="Average of Diff_order_delivary" measure="1" displayFolder="" measureGroup="Order"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name="ExcelProjectData" uniqueName="[ExcelProjectData]" caption="ExcelProjectData"/>
    <dimension measure="1" name="Measures" uniqueName="[Measures]" caption="Measures"/>
    <dimension name="Order" uniqueName="[Order]" caption="Order"/>
    <dimension name="products" uniqueName="[products]" caption="products"/>
  </dimensions>
  <measureGroups count="4">
    <measureGroup name="Customers" caption="Customers"/>
    <measureGroup name="ExcelProjectData" caption="ExcelProjectData"/>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8.810559027777" backgroundQuery="1" createdVersion="8" refreshedVersion="8" minRefreshableVersion="3" recordCount="0" supportSubquery="1" supportAdvancedDrill="1" xr:uid="{F0D7D6A8-7EEE-4D95-8B89-94FD6162BA27}">
  <cacheSource type="external" connectionId="5"/>
  <cacheFields count="6">
    <cacheField name="[products].[Category].[Category]" caption="Category" numFmtId="0" hierarchy="34" level="1">
      <sharedItems count="6">
        <s v="Cake"/>
        <s v="Colors"/>
        <s v="Mugs"/>
        <s v="Plants"/>
        <s v="Soft Toys"/>
        <s v="Sweets"/>
      </sharedItems>
    </cacheField>
    <cacheField name="[Order].[Month Name].[Month Name]" caption="Month Name" numFmtId="0" hierarchy="22" level="1">
      <sharedItems count="12">
        <s v="April"/>
        <s v="August"/>
        <s v="December"/>
        <s v="February"/>
        <s v="January"/>
        <s v="July"/>
        <s v="June"/>
        <s v="March"/>
        <s v="May"/>
        <s v="November"/>
        <s v="October"/>
        <s v="September"/>
      </sharedItems>
    </cacheField>
    <cacheField name="[Customers].[City].[City]" caption="City" numFmtId="0" hierarchy="2" level="1">
      <sharedItems count="6">
        <s v="Faisalabad"/>
        <s v="Islamabad"/>
        <s v="Karachi"/>
        <s v="Lahore"/>
        <s v="Multan"/>
        <s v="Rawalpindi"/>
      </sharedItems>
    </cacheField>
    <cacheField name="[Measures].[Count of Order_ID]" caption="Count of Order_ID" numFmtId="0" hierarchy="51" level="32767"/>
    <cacheField name="[Order].[Occasion].[Occasion]" caption="Occasion" numFmtId="0" hierarchy="21" level="1">
      <sharedItems containsSemiMixedTypes="0" containsNonDate="0" containsString="0"/>
    </cacheField>
    <cacheField name="[Order].[Delivary_date].[Delivary_date]" caption="Delivary_date" numFmtId="0" hierarchy="19"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Data].[Name]" caption="Name" attribute="1" defaultMemberUniqueName="[ExcelProjectData].[Name].[All]" allUniqueName="[ExcelProjectData].[Name].[All]" dimensionUniqueName="[ExcelProjectData]" displayFolder="" count="0" memberValueDatatype="130" unbalanced="0"/>
    <cacheHierarchy uniqueName="[ExcelProjectData].[Extension]" caption="Extension" attribute="1" defaultMemberUniqueName="[ExcelProjectData].[Extension].[All]" allUniqueName="[ExcelProjectData].[Extension].[All]" dimensionUniqueName="[ExcelProjectData]" displayFolder="" count="0" memberValueDatatype="130" unbalanced="0"/>
    <cacheHierarchy uniqueName="[ExcelProjectData].[Date accessed]" caption="Date accessed" attribute="1" time="1" defaultMemberUniqueName="[ExcelProjectData].[Date accessed].[All]" allUniqueName="[ExcelProjectData].[Date accessed].[All]" dimensionUniqueName="[ExcelProjectData]" displayFolder="" count="0" memberValueDatatype="7" unbalanced="0"/>
    <cacheHierarchy uniqueName="[ExcelProjectData].[Date modified]" caption="Date modified" attribute="1" time="1" defaultMemberUniqueName="[ExcelProjectData].[Date modified].[All]" allUniqueName="[ExcelProjectData].[Date modified].[All]" dimensionUniqueName="[ExcelProjectData]" displayFolder="" count="0" memberValueDatatype="7" unbalanced="0"/>
    <cacheHierarchy uniqueName="[ExcelProjectData].[Date created]" caption="Date created" attribute="1" time="1" defaultMemberUniqueName="[ExcelProjectData].[Date created].[All]" allUniqueName="[ExcelProjectData].[Date created].[All]" dimensionUniqueName="[ExcelProjectData]" displayFolder="" count="0" memberValueDatatype="7" unbalanced="0"/>
    <cacheHierarchy uniqueName="[ExcelProjectData].[Folder Path]" caption="Folder Path" attribute="1" defaultMemberUniqueName="[ExcelProjectData].[Folder Path].[All]" allUniqueName="[ExcelProjectData].[Folder Path].[All]" dimensionUniqueName="[ExcelProject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ary_date]" caption="Delivary_date" attribute="1" time="1" defaultMemberUniqueName="[Order].[Delivary_date].[All]" allUniqueName="[Order].[Delivary_date].[All]" dimensionUniqueName="[Order]" displayFolder="" count="2" memberValueDatatype="7" unbalanced="0">
      <fieldsUsage count="2">
        <fieldUsage x="-1"/>
        <fieldUsage x="5"/>
      </fieldsUsage>
    </cacheHierarchy>
    <cacheHierarchy uniqueName="[Order].[Delivery_Time]" caption="Delivery_Time" attribute="1" time="1" defaultMemberUniqueName="[Order].[Delivery_Time].[All]" allUniqueName="[Order].[Delivery_Time].[All]" dimensionUniqueName="[Order]" displayFolder="" count="0" memberValueDatatype="7"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_Time)]" caption="Hour(Order_Time)" attribute="1" defaultMemberUniqueName="[Order].[Hour(Order_Time)].[All]" allUniqueName="[Order].[Hour(Order_Time)].[All]" dimensionUniqueName="[Order]" displayFolder="" count="0" memberValueDatatype="20" unbalanced="0"/>
    <cacheHierarchy uniqueName="[Order].[Hour(Delivary_Time)]" caption="Hour(Delivary_Time)" attribute="1" defaultMemberUniqueName="[Order].[Hour(Delivary_Time)].[All]" allUniqueName="[Order].[Hour(Delivary_Time)].[All]" dimensionUniqueName="[Order]" displayFolder="" count="0" memberValueDatatype="20" unbalanced="0"/>
    <cacheHierarchy uniqueName="[Order].[Diff_order_delivary]" caption="Diff_order_delivary" attribute="1" defaultMemberUniqueName="[Order].[Diff_order_delivary].[All]" allUniqueName="[Order].[Diff_order_delivary].[All]" dimensionUniqueName="[Order]" displayFolder="" count="0" memberValueDatatype="20" unbalanced="0"/>
    <cacheHierarchy uniqueName="[Order].[Price (PKR)]" caption="Price (PKR)" attribute="1" defaultMemberUniqueName="[Order].[Price (PKR)].[All]" allUniqueName="[Order].[Price (PK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Order_date (Year)]" caption="Order_date (Year)" attribute="1" defaultMemberUniqueName="[Order].[Order_date (Year)].[All]" allUniqueName="[Order].[Order_date (Year)].[All]" dimensionUniqueName="[Order]" displayFolder="" count="0"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PKR)]" caption="Price (PKR)" attribute="1" defaultMemberUniqueName="[products].[Price (PKR)].[All]" allUniqueName="[products].[Price (PKR)].[All]" dimensionUniqueName="[products]" displayFolder="" count="0" memberValueDatatype="2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Ocassion]" caption="Ocassion" attribute="1" defaultMemberUniqueName="[products].[Ocassion].[All]" allUniqueName="[products].[Ocassion].[All]" dimensionUniqueName="[products]" displayFolder="" count="0" memberValueDatatype="130" unbalanced="0"/>
    <cacheHierarchy uniqueName="[products].[Column1]" caption="Column1" attribute="1" defaultMemberUniqueName="[products].[Column1].[All]" allUniqueName="[products].[Column1].[All]" dimensionUniqueName="[product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XL_Count ExcelProjectData]" caption="__XL_Count ExcelProjectData" measure="1" displayFolder="" measureGroup="ExcelProjectData" count="0" hidden="1"/>
    <cacheHierarchy uniqueName="[Measures].[__No measures defined]" caption="__No measures defined" measure="1" displayFolder="" count="0" hidden="1"/>
    <cacheHierarchy uniqueName="[Measures].[Sum of Price (PKR)]" caption="Sum of Price (PKR)"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7"/>
        </ext>
      </extLst>
    </cacheHierarchy>
    <cacheHierarchy uniqueName="[Measures].[Sum of Diff_order_delivary]" caption="Sum of Diff_order_delivary" measure="1" displayFolder="" measureGroup="Order" count="0" hidden="1">
      <extLst>
        <ext xmlns:x15="http://schemas.microsoft.com/office/spreadsheetml/2010/11/main" uri="{B97F6D7D-B522-45F9-BDA1-12C45D357490}">
          <x15:cacheHierarchy aggregatedColumn="25"/>
        </ext>
      </extLst>
    </cacheHierarchy>
    <cacheHierarchy uniqueName="[Measures].[Average of Diff_order_delivary]" caption="Average of Diff_order_delivary" measure="1" displayFolder="" measureGroup="Order"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 count="0" oneField="1" hidden="1">
      <fieldsUsage count="1">
        <fieldUsage x="3"/>
      </fieldsUsage>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name="ExcelProjectData" uniqueName="[ExcelProjectData]" caption="ExcelProjectData"/>
    <dimension measure="1" name="Measures" uniqueName="[Measures]" caption="Measures"/>
    <dimension name="Order" uniqueName="[Order]" caption="Order"/>
    <dimension name="products" uniqueName="[products]" caption="products"/>
  </dimensions>
  <measureGroups count="4">
    <measureGroup name="Customers" caption="Customers"/>
    <measureGroup name="ExcelProjectData" caption="ExcelProjectData"/>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8.810559606478" backgroundQuery="1" createdVersion="8" refreshedVersion="8" minRefreshableVersion="3" recordCount="0" supportSubquery="1" supportAdvancedDrill="1" xr:uid="{B626DDA6-88E5-4799-907B-73436CC9EFD2}">
  <cacheSource type="external" connectionId="5"/>
  <cacheFields count="5">
    <cacheField name="[products].[Category].[Category]" caption="Category" numFmtId="0" hierarchy="34" level="1">
      <sharedItems count="6">
        <s v="Cake"/>
        <s v="Colors"/>
        <s v="Mugs"/>
        <s v="Plants"/>
        <s v="Soft Toys"/>
        <s v="Sweets"/>
      </sharedItems>
    </cacheField>
    <cacheField name="[Measures].[Sum of Revenue]" caption="Sum of Revenue" numFmtId="0" hierarchy="46" level="32767"/>
    <cacheField name="[Order].[Month Name].[Month Name]" caption="Month Name" numFmtId="0" hierarchy="22" level="1">
      <sharedItems count="12">
        <s v="April"/>
        <s v="August"/>
        <s v="December"/>
        <s v="February"/>
        <s v="January"/>
        <s v="July"/>
        <s v="June"/>
        <s v="March"/>
        <s v="May"/>
        <s v="November"/>
        <s v="October"/>
        <s v="September"/>
      </sharedItems>
    </cacheField>
    <cacheField name="[Order].[Occasion].[Occasion]" caption="Occasion" numFmtId="0" hierarchy="21" level="1">
      <sharedItems count="1">
        <s v="Birthday"/>
      </sharedItems>
    </cacheField>
    <cacheField name="[Order].[Delivary_date].[Delivary_date]" caption="Delivary_date" numFmtId="0" hierarchy="19"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Data].[Name]" caption="Name" attribute="1" defaultMemberUniqueName="[ExcelProjectData].[Name].[All]" allUniqueName="[ExcelProjectData].[Name].[All]" dimensionUniqueName="[ExcelProjectData]" displayFolder="" count="0" memberValueDatatype="130" unbalanced="0"/>
    <cacheHierarchy uniqueName="[ExcelProjectData].[Extension]" caption="Extension" attribute="1" defaultMemberUniqueName="[ExcelProjectData].[Extension].[All]" allUniqueName="[ExcelProjectData].[Extension].[All]" dimensionUniqueName="[ExcelProjectData]" displayFolder="" count="0" memberValueDatatype="130" unbalanced="0"/>
    <cacheHierarchy uniqueName="[ExcelProjectData].[Date accessed]" caption="Date accessed" attribute="1" time="1" defaultMemberUniqueName="[ExcelProjectData].[Date accessed].[All]" allUniqueName="[ExcelProjectData].[Date accessed].[All]" dimensionUniqueName="[ExcelProjectData]" displayFolder="" count="0" memberValueDatatype="7" unbalanced="0"/>
    <cacheHierarchy uniqueName="[ExcelProjectData].[Date modified]" caption="Date modified" attribute="1" time="1" defaultMemberUniqueName="[ExcelProjectData].[Date modified].[All]" allUniqueName="[ExcelProjectData].[Date modified].[All]" dimensionUniqueName="[ExcelProjectData]" displayFolder="" count="0" memberValueDatatype="7" unbalanced="0"/>
    <cacheHierarchy uniqueName="[ExcelProjectData].[Date created]" caption="Date created" attribute="1" time="1" defaultMemberUniqueName="[ExcelProjectData].[Date created].[All]" allUniqueName="[ExcelProjectData].[Date created].[All]" dimensionUniqueName="[ExcelProjectData]" displayFolder="" count="0" memberValueDatatype="7" unbalanced="0"/>
    <cacheHierarchy uniqueName="[ExcelProjectData].[Folder Path]" caption="Folder Path" attribute="1" defaultMemberUniqueName="[ExcelProjectData].[Folder Path].[All]" allUniqueName="[ExcelProjectData].[Folder Path].[All]" dimensionUniqueName="[ExcelProject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ary_date]" caption="Delivary_date" attribute="1" time="1" defaultMemberUniqueName="[Order].[Delivary_date].[All]" allUniqueName="[Order].[Delivary_date].[All]" dimensionUniqueName="[Order]" displayFolder="" count="2" memberValueDatatype="7" unbalanced="0">
      <fieldsUsage count="2">
        <fieldUsage x="-1"/>
        <fieldUsage x="4"/>
      </fieldsUsage>
    </cacheHierarchy>
    <cacheHierarchy uniqueName="[Order].[Delivery_Time]" caption="Delivery_Time" attribute="1" time="1" defaultMemberUniqueName="[Order].[Delivery_Time].[All]" allUniqueName="[Order].[Delivery_Time].[All]" dimensionUniqueName="[Order]" displayFolder="" count="0" memberValueDatatype="7"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2"/>
      </fieldsUsage>
    </cacheHierarchy>
    <cacheHierarchy uniqueName="[Order].[Hour(Order_Time)]" caption="Hour(Order_Time)" attribute="1" defaultMemberUniqueName="[Order].[Hour(Order_Time)].[All]" allUniqueName="[Order].[Hour(Order_Time)].[All]" dimensionUniqueName="[Order]" displayFolder="" count="0" memberValueDatatype="20" unbalanced="0"/>
    <cacheHierarchy uniqueName="[Order].[Hour(Delivary_Time)]" caption="Hour(Delivary_Time)" attribute="1" defaultMemberUniqueName="[Order].[Hour(Delivary_Time)].[All]" allUniqueName="[Order].[Hour(Delivary_Time)].[All]" dimensionUniqueName="[Order]" displayFolder="" count="0" memberValueDatatype="20" unbalanced="0"/>
    <cacheHierarchy uniqueName="[Order].[Diff_order_delivary]" caption="Diff_order_delivary" attribute="1" defaultMemberUniqueName="[Order].[Diff_order_delivary].[All]" allUniqueName="[Order].[Diff_order_delivary].[All]" dimensionUniqueName="[Order]" displayFolder="" count="0" memberValueDatatype="20" unbalanced="0"/>
    <cacheHierarchy uniqueName="[Order].[Price (PKR)]" caption="Price (PKR)" attribute="1" defaultMemberUniqueName="[Order].[Price (PKR)].[All]" allUniqueName="[Order].[Price (PK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Order_date (Year)]" caption="Order_date (Year)" attribute="1" defaultMemberUniqueName="[Order].[Order_date (Year)].[All]" allUniqueName="[Order].[Order_date (Year)].[All]" dimensionUniqueName="[Order]" displayFolder="" count="0"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PKR)]" caption="Price (PKR)" attribute="1" defaultMemberUniqueName="[products].[Price (PKR)].[All]" allUniqueName="[products].[Price (PKR)].[All]" dimensionUniqueName="[products]" displayFolder="" count="0" memberValueDatatype="2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Ocassion]" caption="Ocassion" attribute="1" defaultMemberUniqueName="[products].[Ocassion].[All]" allUniqueName="[products].[Ocassion].[All]" dimensionUniqueName="[products]" displayFolder="" count="0" memberValueDatatype="130" unbalanced="0"/>
    <cacheHierarchy uniqueName="[products].[Column1]" caption="Column1" attribute="1" defaultMemberUniqueName="[products].[Column1].[All]" allUniqueName="[products].[Column1].[All]" dimensionUniqueName="[product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XL_Count ExcelProjectData]" caption="__XL_Count ExcelProjectData" measure="1" displayFolder="" measureGroup="ExcelProjectData" count="0" hidden="1"/>
    <cacheHierarchy uniqueName="[Measures].[__No measures defined]" caption="__No measures defined" measure="1" displayFolder="" count="0" hidden="1"/>
    <cacheHierarchy uniqueName="[Measures].[Sum of Price (PKR)]" caption="Sum of Price (PKR)"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Diff_order_delivary]" caption="Sum of Diff_order_delivary" measure="1" displayFolder="" measureGroup="Order" count="0" hidden="1">
      <extLst>
        <ext xmlns:x15="http://schemas.microsoft.com/office/spreadsheetml/2010/11/main" uri="{B97F6D7D-B522-45F9-BDA1-12C45D357490}">
          <x15:cacheHierarchy aggregatedColumn="25"/>
        </ext>
      </extLst>
    </cacheHierarchy>
    <cacheHierarchy uniqueName="[Measures].[Average of Diff_order_delivary]" caption="Average of Diff_order_delivary" measure="1" displayFolder="" measureGroup="Order"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name="ExcelProjectData" uniqueName="[ExcelProjectData]" caption="ExcelProjectData"/>
    <dimension measure="1" name="Measures" uniqueName="[Measures]" caption="Measures"/>
    <dimension name="Order" uniqueName="[Order]" caption="Order"/>
    <dimension name="products" uniqueName="[products]" caption="products"/>
  </dimensions>
  <measureGroups count="4">
    <measureGroup name="Customers" caption="Customers"/>
    <measureGroup name="ExcelProjectData" caption="ExcelProjectData"/>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8.810560300924" backgroundQuery="1" createdVersion="8" refreshedVersion="8" minRefreshableVersion="3" recordCount="0" supportSubquery="1" supportAdvancedDrill="1" xr:uid="{DB6F87E9-D0BA-480A-878A-FDA2CA95E10A}">
  <cacheSource type="external" connectionId="5"/>
  <cacheFields count="6">
    <cacheField name="[products].[Category].[Category]" caption="Category" numFmtId="0" hierarchy="34" level="1">
      <sharedItems count="6">
        <s v="Cake"/>
        <s v="Colors"/>
        <s v="Mugs"/>
        <s v="Plants"/>
        <s v="Soft Toys"/>
        <s v="Sweets"/>
      </sharedItems>
    </cacheField>
    <cacheField name="[Measures].[Sum of Revenue]" caption="Sum of Revenue" numFmtId="0" hierarchy="46" level="32767"/>
    <cacheField name="[Order].[Month Name].[Month Name]" caption="Month Name" numFmtId="0" hierarchy="22" level="1">
      <sharedItems count="12">
        <s v="April"/>
        <s v="August"/>
        <s v="December"/>
        <s v="February"/>
        <s v="January"/>
        <s v="July"/>
        <s v="June"/>
        <s v="March"/>
        <s v="May"/>
        <s v="November"/>
        <s v="October"/>
        <s v="September"/>
      </sharedItems>
    </cacheField>
    <cacheField name="[Order].[Day Name(order date)].[Day Name(order date)]" caption="Day Name(order date)" numFmtId="0" hierarchy="28" level="1">
      <sharedItems count="6">
        <s v="Friday"/>
        <s v="Monday"/>
        <s v="Saturday"/>
        <s v="Sunday"/>
        <s v="Thursday"/>
        <s v="Wednesday"/>
      </sharedItems>
    </cacheField>
    <cacheField name="[Order].[Occasion].[Occasion]" caption="Occasion" numFmtId="0" hierarchy="21" level="1">
      <sharedItems containsSemiMixedTypes="0" containsNonDate="0" containsString="0"/>
    </cacheField>
    <cacheField name="[Order].[Delivary_date].[Delivary_date]" caption="Delivary_date" numFmtId="0" hierarchy="19"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Data].[Name]" caption="Name" attribute="1" defaultMemberUniqueName="[ExcelProjectData].[Name].[All]" allUniqueName="[ExcelProjectData].[Name].[All]" dimensionUniqueName="[ExcelProjectData]" displayFolder="" count="0" memberValueDatatype="130" unbalanced="0"/>
    <cacheHierarchy uniqueName="[ExcelProjectData].[Extension]" caption="Extension" attribute="1" defaultMemberUniqueName="[ExcelProjectData].[Extension].[All]" allUniqueName="[ExcelProjectData].[Extension].[All]" dimensionUniqueName="[ExcelProjectData]" displayFolder="" count="0" memberValueDatatype="130" unbalanced="0"/>
    <cacheHierarchy uniqueName="[ExcelProjectData].[Date accessed]" caption="Date accessed" attribute="1" time="1" defaultMemberUniqueName="[ExcelProjectData].[Date accessed].[All]" allUniqueName="[ExcelProjectData].[Date accessed].[All]" dimensionUniqueName="[ExcelProjectData]" displayFolder="" count="0" memberValueDatatype="7" unbalanced="0"/>
    <cacheHierarchy uniqueName="[ExcelProjectData].[Date modified]" caption="Date modified" attribute="1" time="1" defaultMemberUniqueName="[ExcelProjectData].[Date modified].[All]" allUniqueName="[ExcelProjectData].[Date modified].[All]" dimensionUniqueName="[ExcelProjectData]" displayFolder="" count="0" memberValueDatatype="7" unbalanced="0"/>
    <cacheHierarchy uniqueName="[ExcelProjectData].[Date created]" caption="Date created" attribute="1" time="1" defaultMemberUniqueName="[ExcelProjectData].[Date created].[All]" allUniqueName="[ExcelProjectData].[Date created].[All]" dimensionUniqueName="[ExcelProjectData]" displayFolder="" count="0" memberValueDatatype="7" unbalanced="0"/>
    <cacheHierarchy uniqueName="[ExcelProjectData].[Folder Path]" caption="Folder Path" attribute="1" defaultMemberUniqueName="[ExcelProjectData].[Folder Path].[All]" allUniqueName="[ExcelProjectData].[Folder Path].[All]" dimensionUniqueName="[ExcelProject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ary_date]" caption="Delivary_date" attribute="1" time="1" defaultMemberUniqueName="[Order].[Delivary_date].[All]" allUniqueName="[Order].[Delivary_date].[All]" dimensionUniqueName="[Order]" displayFolder="" count="2" memberValueDatatype="7" unbalanced="0">
      <fieldsUsage count="2">
        <fieldUsage x="-1"/>
        <fieldUsage x="5"/>
      </fieldsUsage>
    </cacheHierarchy>
    <cacheHierarchy uniqueName="[Order].[Delivery_Time]" caption="Delivery_Time" attribute="1" time="1" defaultMemberUniqueName="[Order].[Delivery_Time].[All]" allUniqueName="[Order].[Delivery_Time].[All]" dimensionUniqueName="[Order]" displayFolder="" count="0" memberValueDatatype="7"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2"/>
      </fieldsUsage>
    </cacheHierarchy>
    <cacheHierarchy uniqueName="[Order].[Hour(Order_Time)]" caption="Hour(Order_Time)" attribute="1" defaultMemberUniqueName="[Order].[Hour(Order_Time)].[All]" allUniqueName="[Order].[Hour(Order_Time)].[All]" dimensionUniqueName="[Order]" displayFolder="" count="0" memberValueDatatype="20" unbalanced="0"/>
    <cacheHierarchy uniqueName="[Order].[Hour(Delivary_Time)]" caption="Hour(Delivary_Time)" attribute="1" defaultMemberUniqueName="[Order].[Hour(Delivary_Time)].[All]" allUniqueName="[Order].[Hour(Delivary_Time)].[All]" dimensionUniqueName="[Order]" displayFolder="" count="0" memberValueDatatype="20" unbalanced="0"/>
    <cacheHierarchy uniqueName="[Order].[Diff_order_delivary]" caption="Diff_order_delivary" attribute="1" defaultMemberUniqueName="[Order].[Diff_order_delivary].[All]" allUniqueName="[Order].[Diff_order_delivary].[All]" dimensionUniqueName="[Order]" displayFolder="" count="0" memberValueDatatype="20" unbalanced="0"/>
    <cacheHierarchy uniqueName="[Order].[Price (PKR)]" caption="Price (PKR)" attribute="1" defaultMemberUniqueName="[Order].[Price (PKR)].[All]" allUniqueName="[Order].[Price (PK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order date)]" caption="Day Name(order date)" attribute="1" defaultMemberUniqueName="[Order].[Day Name(order date)].[All]" allUniqueName="[Order].[Day Name(order date)].[All]" dimensionUniqueName="[Order]" displayFolder="" count="2" memberValueDatatype="130" unbalanced="0">
      <fieldsUsage count="2">
        <fieldUsage x="-1"/>
        <fieldUsage x="3"/>
      </fieldsUsage>
    </cacheHierarchy>
    <cacheHierarchy uniqueName="[Order].[Order_date (Year)]" caption="Order_date (Year)" attribute="1" defaultMemberUniqueName="[Order].[Order_date (Year)].[All]" allUniqueName="[Order].[Order_date (Year)].[All]" dimensionUniqueName="[Order]" displayFolder="" count="2" memberValueDatatype="130" unbalanced="0"/>
    <cacheHierarchy uniqueName="[Order].[Order_date (Quarter)]" caption="Order_date (Quarter)" attribute="1" defaultMemberUniqueName="[Order].[Order_date (Quarter)].[All]" allUniqueName="[Order].[Order_date (Quarter)].[All]" dimensionUniqueName="[Order]" displayFolder="" count="2" memberValueDatatype="130" unbalanced="0"/>
    <cacheHierarchy uniqueName="[Order].[Order_date (Month)]" caption="Order_date (Month)" attribute="1" defaultMemberUniqueName="[Order].[Order_date (Month)].[All]" allUniqueName="[Order].[Order_date (Month)].[All]" dimensionUniqueName="[Order]"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PKR)]" caption="Price (PKR)" attribute="1" defaultMemberUniqueName="[products].[Price (PKR)].[All]" allUniqueName="[products].[Price (PKR)].[All]" dimensionUniqueName="[products]" displayFolder="" count="0" memberValueDatatype="2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Ocassion]" caption="Ocassion" attribute="1" defaultMemberUniqueName="[products].[Ocassion].[All]" allUniqueName="[products].[Ocassion].[All]" dimensionUniqueName="[products]" displayFolder="" count="0" memberValueDatatype="130" unbalanced="0"/>
    <cacheHierarchy uniqueName="[products].[Column1]" caption="Column1" attribute="1" defaultMemberUniqueName="[products].[Column1].[All]" allUniqueName="[products].[Column1].[All]" dimensionUniqueName="[product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XL_Count ExcelProjectData]" caption="__XL_Count ExcelProjectData" measure="1" displayFolder="" measureGroup="ExcelProjectData" count="0" hidden="1"/>
    <cacheHierarchy uniqueName="[Measures].[__No measures defined]" caption="__No measures defined" measure="1" displayFolder="" count="0" hidden="1"/>
    <cacheHierarchy uniqueName="[Measures].[Sum of Price (PKR)]" caption="Sum of Price (PKR)"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Diff_order_delivary]" caption="Sum of Diff_order_delivary" measure="1" displayFolder="" measureGroup="Order" count="0" hidden="1">
      <extLst>
        <ext xmlns:x15="http://schemas.microsoft.com/office/spreadsheetml/2010/11/main" uri="{B97F6D7D-B522-45F9-BDA1-12C45D357490}">
          <x15:cacheHierarchy aggregatedColumn="25"/>
        </ext>
      </extLst>
    </cacheHierarchy>
    <cacheHierarchy uniqueName="[Measures].[Average of Diff_order_delivary]" caption="Average of Diff_order_delivary" measure="1" displayFolder="" measureGroup="Order"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name="ExcelProjectData" uniqueName="[ExcelProjectData]" caption="ExcelProjectData"/>
    <dimension measure="1" name="Measures" uniqueName="[Measures]" caption="Measures"/>
    <dimension name="Order" uniqueName="[Order]" caption="Order"/>
    <dimension name="products" uniqueName="[products]" caption="products"/>
  </dimensions>
  <measureGroups count="4">
    <measureGroup name="Customers" caption="Customers"/>
    <measureGroup name="ExcelProjectData" caption="ExcelProjectData"/>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8.810560995371" backgroundQuery="1" createdVersion="8" refreshedVersion="8" minRefreshableVersion="3" recordCount="0" supportSubquery="1" supportAdvancedDrill="1" xr:uid="{4BBBD4AC-BB2D-46EA-8757-4F7E2CAC99CC}">
  <cacheSource type="external" connectionId="5"/>
  <cacheFields count="5">
    <cacheField name="[products].[Category].[Category]" caption="Category" numFmtId="0" hierarchy="34" level="1">
      <sharedItems count="6">
        <s v="Cake"/>
        <s v="Colors"/>
        <s v="Mugs"/>
        <s v="Plants"/>
        <s v="Soft Toys"/>
        <s v="Sweets"/>
      </sharedItems>
    </cacheField>
    <cacheField name="[Measures].[Sum of Revenue]" caption="Sum of Revenue" numFmtId="0" hierarchy="46" level="32767"/>
    <cacheField name="[Order].[Month Name].[Month Name]" caption="Month Name" numFmtId="0" hierarchy="22" level="1">
      <sharedItems count="2">
        <s v="December"/>
        <s v="January"/>
      </sharedItems>
    </cacheField>
    <cacheField name="[Order].[Occasion].[Occasion]" caption="Occasion" numFmtId="0" hierarchy="21" level="1">
      <sharedItems containsSemiMixedTypes="0" containsNonDate="0" containsString="0"/>
    </cacheField>
    <cacheField name="[Order].[Delivary_date].[Delivary_date]" caption="Delivary_date" numFmtId="0" hierarchy="19"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Data].[Name]" caption="Name" attribute="1" defaultMemberUniqueName="[ExcelProjectData].[Name].[All]" allUniqueName="[ExcelProjectData].[Name].[All]" dimensionUniqueName="[ExcelProjectData]" displayFolder="" count="0" memberValueDatatype="130" unbalanced="0"/>
    <cacheHierarchy uniqueName="[ExcelProjectData].[Extension]" caption="Extension" attribute="1" defaultMemberUniqueName="[ExcelProjectData].[Extension].[All]" allUniqueName="[ExcelProjectData].[Extension].[All]" dimensionUniqueName="[ExcelProjectData]" displayFolder="" count="0" memberValueDatatype="130" unbalanced="0"/>
    <cacheHierarchy uniqueName="[ExcelProjectData].[Date accessed]" caption="Date accessed" attribute="1" time="1" defaultMemberUniqueName="[ExcelProjectData].[Date accessed].[All]" allUniqueName="[ExcelProjectData].[Date accessed].[All]" dimensionUniqueName="[ExcelProjectData]" displayFolder="" count="0" memberValueDatatype="7" unbalanced="0"/>
    <cacheHierarchy uniqueName="[ExcelProjectData].[Date modified]" caption="Date modified" attribute="1" time="1" defaultMemberUniqueName="[ExcelProjectData].[Date modified].[All]" allUniqueName="[ExcelProjectData].[Date modified].[All]" dimensionUniqueName="[ExcelProjectData]" displayFolder="" count="0" memberValueDatatype="7" unbalanced="0"/>
    <cacheHierarchy uniqueName="[ExcelProjectData].[Date created]" caption="Date created" attribute="1" time="1" defaultMemberUniqueName="[ExcelProjectData].[Date created].[All]" allUniqueName="[ExcelProjectData].[Date created].[All]" dimensionUniqueName="[ExcelProjectData]" displayFolder="" count="0" memberValueDatatype="7" unbalanced="0"/>
    <cacheHierarchy uniqueName="[ExcelProjectData].[Folder Path]" caption="Folder Path" attribute="1" defaultMemberUniqueName="[ExcelProjectData].[Folder Path].[All]" allUniqueName="[ExcelProjectData].[Folder Path].[All]" dimensionUniqueName="[ExcelProject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ary_date]" caption="Delivary_date" attribute="1" time="1" defaultMemberUniqueName="[Order].[Delivary_date].[All]" allUniqueName="[Order].[Delivary_date].[All]" dimensionUniqueName="[Order]" displayFolder="" count="2" memberValueDatatype="7" unbalanced="0">
      <fieldsUsage count="2">
        <fieldUsage x="-1"/>
        <fieldUsage x="4"/>
      </fieldsUsage>
    </cacheHierarchy>
    <cacheHierarchy uniqueName="[Order].[Delivery_Time]" caption="Delivery_Time" attribute="1" time="1" defaultMemberUniqueName="[Order].[Delivery_Time].[All]" allUniqueName="[Order].[Delivery_Time].[All]" dimensionUniqueName="[Order]" displayFolder="" count="0" memberValueDatatype="7"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2"/>
      </fieldsUsage>
    </cacheHierarchy>
    <cacheHierarchy uniqueName="[Order].[Hour(Order_Time)]" caption="Hour(Order_Time)" attribute="1" defaultMemberUniqueName="[Order].[Hour(Order_Time)].[All]" allUniqueName="[Order].[Hour(Order_Time)].[All]" dimensionUniqueName="[Order]" displayFolder="" count="0" memberValueDatatype="20" unbalanced="0"/>
    <cacheHierarchy uniqueName="[Order].[Hour(Delivary_Time)]" caption="Hour(Delivary_Time)" attribute="1" defaultMemberUniqueName="[Order].[Hour(Delivary_Time)].[All]" allUniqueName="[Order].[Hour(Delivary_Time)].[All]" dimensionUniqueName="[Order]" displayFolder="" count="0" memberValueDatatype="20" unbalanced="0"/>
    <cacheHierarchy uniqueName="[Order].[Diff_order_delivary]" caption="Diff_order_delivary" attribute="1" defaultMemberUniqueName="[Order].[Diff_order_delivary].[All]" allUniqueName="[Order].[Diff_order_delivary].[All]" dimensionUniqueName="[Order]" displayFolder="" count="0" memberValueDatatype="20" unbalanced="0"/>
    <cacheHierarchy uniqueName="[Order].[Price (PKR)]" caption="Price (PKR)" attribute="1" defaultMemberUniqueName="[Order].[Price (PKR)].[All]" allUniqueName="[Order].[Price (PK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Order_date (Year)]" caption="Order_date (Year)" attribute="1" defaultMemberUniqueName="[Order].[Order_date (Year)].[All]" allUniqueName="[Order].[Order_date (Year)].[All]" dimensionUniqueName="[Order]" displayFolder="" count="0"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PKR)]" caption="Price (PKR)" attribute="1" defaultMemberUniqueName="[products].[Price (PKR)].[All]" allUniqueName="[products].[Price (PKR)].[All]" dimensionUniqueName="[products]" displayFolder="" count="0" memberValueDatatype="2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Ocassion]" caption="Ocassion" attribute="1" defaultMemberUniqueName="[products].[Ocassion].[All]" allUniqueName="[products].[Ocassion].[All]" dimensionUniqueName="[products]" displayFolder="" count="0" memberValueDatatype="130" unbalanced="0"/>
    <cacheHierarchy uniqueName="[products].[Column1]" caption="Column1" attribute="1" defaultMemberUniqueName="[products].[Column1].[All]" allUniqueName="[products].[Column1].[All]" dimensionUniqueName="[product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XL_Count ExcelProjectData]" caption="__XL_Count ExcelProjectData" measure="1" displayFolder="" measureGroup="ExcelProjectData" count="0" hidden="1"/>
    <cacheHierarchy uniqueName="[Measures].[__No measures defined]" caption="__No measures defined" measure="1" displayFolder="" count="0" hidden="1"/>
    <cacheHierarchy uniqueName="[Measures].[Sum of Price (PKR)]" caption="Sum of Price (PKR)"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Diff_order_delivary]" caption="Sum of Diff_order_delivary" measure="1" displayFolder="" measureGroup="Order" count="0" hidden="1">
      <extLst>
        <ext xmlns:x15="http://schemas.microsoft.com/office/spreadsheetml/2010/11/main" uri="{B97F6D7D-B522-45F9-BDA1-12C45D357490}">
          <x15:cacheHierarchy aggregatedColumn="25"/>
        </ext>
      </extLst>
    </cacheHierarchy>
    <cacheHierarchy uniqueName="[Measures].[Average of Diff_order_delivary]" caption="Average of Diff_order_delivary" measure="1" displayFolder="" measureGroup="Order"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name="ExcelProjectData" uniqueName="[ExcelProjectData]" caption="ExcelProjectData"/>
    <dimension measure="1" name="Measures" uniqueName="[Measures]" caption="Measures"/>
    <dimension name="Order" uniqueName="[Order]" caption="Order"/>
    <dimension name="products" uniqueName="[products]" caption="products"/>
  </dimensions>
  <measureGroups count="4">
    <measureGroup name="Customers" caption="Customers"/>
    <measureGroup name="ExcelProjectData" caption="ExcelProjectData"/>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8.810561805556" backgroundQuery="1" createdVersion="8" refreshedVersion="8" minRefreshableVersion="3" recordCount="0" supportSubquery="1" supportAdvancedDrill="1" xr:uid="{8C717861-38BA-44EB-8A49-59A15D34137B}">
  <cacheSource type="external" connectionId="5"/>
  <cacheFields count="4">
    <cacheField name="[Measures].[Average of Diff_order_delivary]" caption="Average of Diff_order_delivary" numFmtId="0" hierarchy="48" level="32767"/>
    <cacheField name="[Measures].[Average of Revenue]" caption="Average of Revenue" numFmtId="0" hierarchy="49" level="32767"/>
    <cacheField name="[Order].[Occasion].[Occasion]" caption="Occasion" numFmtId="0" hierarchy="21" level="1">
      <sharedItems containsSemiMixedTypes="0" containsNonDate="0" containsString="0"/>
    </cacheField>
    <cacheField name="[Order].[Delivary_date].[Delivary_date]" caption="Delivary_date" numFmtId="0" hierarchy="19"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Data].[Name]" caption="Name" attribute="1" defaultMemberUniqueName="[ExcelProjectData].[Name].[All]" allUniqueName="[ExcelProjectData].[Name].[All]" dimensionUniqueName="[ExcelProjectData]" displayFolder="" count="0" memberValueDatatype="130" unbalanced="0"/>
    <cacheHierarchy uniqueName="[ExcelProjectData].[Extension]" caption="Extension" attribute="1" defaultMemberUniqueName="[ExcelProjectData].[Extension].[All]" allUniqueName="[ExcelProjectData].[Extension].[All]" dimensionUniqueName="[ExcelProjectData]" displayFolder="" count="0" memberValueDatatype="130" unbalanced="0"/>
    <cacheHierarchy uniqueName="[ExcelProjectData].[Date accessed]" caption="Date accessed" attribute="1" time="1" defaultMemberUniqueName="[ExcelProjectData].[Date accessed].[All]" allUniqueName="[ExcelProjectData].[Date accessed].[All]" dimensionUniqueName="[ExcelProjectData]" displayFolder="" count="0" memberValueDatatype="7" unbalanced="0"/>
    <cacheHierarchy uniqueName="[ExcelProjectData].[Date modified]" caption="Date modified" attribute="1" time="1" defaultMemberUniqueName="[ExcelProjectData].[Date modified].[All]" allUniqueName="[ExcelProjectData].[Date modified].[All]" dimensionUniqueName="[ExcelProjectData]" displayFolder="" count="0" memberValueDatatype="7" unbalanced="0"/>
    <cacheHierarchy uniqueName="[ExcelProjectData].[Date created]" caption="Date created" attribute="1" time="1" defaultMemberUniqueName="[ExcelProjectData].[Date created].[All]" allUniqueName="[ExcelProjectData].[Date created].[All]" dimensionUniqueName="[ExcelProjectData]" displayFolder="" count="0" memberValueDatatype="7" unbalanced="0"/>
    <cacheHierarchy uniqueName="[ExcelProjectData].[Folder Path]" caption="Folder Path" attribute="1" defaultMemberUniqueName="[ExcelProjectData].[Folder Path].[All]" allUniqueName="[ExcelProjectData].[Folder Path].[All]" dimensionUniqueName="[ExcelProject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ary_date]" caption="Delivary_date" attribute="1" time="1" defaultMemberUniqueName="[Order].[Delivary_date].[All]" allUniqueName="[Order].[Delivary_date].[All]" dimensionUniqueName="[Order]" displayFolder="" count="2" memberValueDatatype="7" unbalanced="0">
      <fieldsUsage count="2">
        <fieldUsage x="-1"/>
        <fieldUsage x="3"/>
      </fieldsUsage>
    </cacheHierarchy>
    <cacheHierarchy uniqueName="[Order].[Delivery_Time]" caption="Delivery_Time" attribute="1" time="1" defaultMemberUniqueName="[Order].[Delivery_Time].[All]" allUniqueName="[Order].[Delivery_Time].[All]" dimensionUniqueName="[Order]" displayFolder="" count="0" memberValueDatatype="7"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_Time)]" caption="Hour(Order_Time)" attribute="1" defaultMemberUniqueName="[Order].[Hour(Order_Time)].[All]" allUniqueName="[Order].[Hour(Order_Time)].[All]" dimensionUniqueName="[Order]" displayFolder="" count="0" memberValueDatatype="20" unbalanced="0"/>
    <cacheHierarchy uniqueName="[Order].[Hour(Delivary_Time)]" caption="Hour(Delivary_Time)" attribute="1" defaultMemberUniqueName="[Order].[Hour(Delivary_Time)].[All]" allUniqueName="[Order].[Hour(Delivary_Time)].[All]" dimensionUniqueName="[Order]" displayFolder="" count="0" memberValueDatatype="20" unbalanced="0"/>
    <cacheHierarchy uniqueName="[Order].[Diff_order_delivary]" caption="Diff_order_delivary" attribute="1" defaultMemberUniqueName="[Order].[Diff_order_delivary].[All]" allUniqueName="[Order].[Diff_order_delivary].[All]" dimensionUniqueName="[Order]" displayFolder="" count="0" memberValueDatatype="20" unbalanced="0"/>
    <cacheHierarchy uniqueName="[Order].[Price (PKR)]" caption="Price (PKR)" attribute="1" defaultMemberUniqueName="[Order].[Price (PKR)].[All]" allUniqueName="[Order].[Price (PK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Order_date (Year)]" caption="Order_date (Year)" attribute="1" defaultMemberUniqueName="[Order].[Order_date (Year)].[All]" allUniqueName="[Order].[Order_date (Year)].[All]" dimensionUniqueName="[Order]" displayFolder="" count="0"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PKR)]" caption="Price (PKR)" attribute="1" defaultMemberUniqueName="[products].[Price (PKR)].[All]" allUniqueName="[products].[Price (PKR)].[All]" dimensionUniqueName="[products]" displayFolder="" count="0" memberValueDatatype="2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Ocassion]" caption="Ocassion" attribute="1" defaultMemberUniqueName="[products].[Ocassion].[All]" allUniqueName="[products].[Ocassion].[All]" dimensionUniqueName="[products]" displayFolder="" count="0" memberValueDatatype="130" unbalanced="0"/>
    <cacheHierarchy uniqueName="[products].[Column1]" caption="Column1" attribute="1" defaultMemberUniqueName="[products].[Column1].[All]" allUniqueName="[products].[Column1].[All]" dimensionUniqueName="[product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XL_Count ExcelProjectData]" caption="__XL_Count ExcelProjectData" measure="1" displayFolder="" measureGroup="ExcelProjectData" count="0" hidden="1"/>
    <cacheHierarchy uniqueName="[Measures].[__No measures defined]" caption="__No measures defined" measure="1" displayFolder="" count="0" hidden="1"/>
    <cacheHierarchy uniqueName="[Measures].[Sum of Price (PKR)]" caption="Sum of Price (PKR)"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7"/>
        </ext>
      </extLst>
    </cacheHierarchy>
    <cacheHierarchy uniqueName="[Measures].[Sum of Diff_order_delivary]" caption="Sum of Diff_order_delivary" measure="1" displayFolder="" measureGroup="Order" count="0" hidden="1">
      <extLst>
        <ext xmlns:x15="http://schemas.microsoft.com/office/spreadsheetml/2010/11/main" uri="{B97F6D7D-B522-45F9-BDA1-12C45D357490}">
          <x15:cacheHierarchy aggregatedColumn="25"/>
        </ext>
      </extLst>
    </cacheHierarchy>
    <cacheHierarchy uniqueName="[Measures].[Average of Diff_order_delivary]" caption="Average of Diff_order_delivary" measure="1" displayFolder="" measureGroup="Order" count="0" oneField="1" hidden="1">
      <fieldsUsage count="1">
        <fieldUsage x="0"/>
      </fieldsUsage>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name="ExcelProjectData" uniqueName="[ExcelProjectData]" caption="ExcelProjectData"/>
    <dimension measure="1" name="Measures" uniqueName="[Measures]" caption="Measures"/>
    <dimension name="Order" uniqueName="[Order]" caption="Order"/>
    <dimension name="products" uniqueName="[products]" caption="products"/>
  </dimensions>
  <measureGroups count="4">
    <measureGroup name="Customers" caption="Customers"/>
    <measureGroup name="ExcelProjectData" caption="ExcelProjectData"/>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8.810562500003" backgroundQuery="1" createdVersion="8" refreshedVersion="8" minRefreshableVersion="3" recordCount="0" supportSubquery="1" supportAdvancedDrill="1" xr:uid="{5F21292A-CDE6-4750-8AE1-07B9647C1651}">
  <cacheSource type="external" connectionId="5"/>
  <cacheFields count="5">
    <cacheField name="[products].[Category].[Category]" caption="Category" numFmtId="0" hierarchy="34" level="1">
      <sharedItems count="6">
        <s v="Cake"/>
        <s v="Colors"/>
        <s v="Plants"/>
        <s v="Sweets"/>
        <s v="Soft Toys" u="1"/>
        <s v="Mugs" u="1"/>
      </sharedItems>
    </cacheField>
    <cacheField name="[Measures].[Sum of Revenue]" caption="Sum of Revenue" numFmtId="0" hierarchy="46" level="32767"/>
    <cacheField name="[Order].[Month Name].[Month Name]" caption="Month Name" numFmtId="0" hierarchy="22" level="1">
      <sharedItems count="12">
        <s v="April"/>
        <s v="August"/>
        <s v="December"/>
        <s v="February"/>
        <s v="January"/>
        <s v="July"/>
        <s v="June"/>
        <s v="March"/>
        <s v="May"/>
        <s v="November"/>
        <s v="October"/>
        <s v="September"/>
      </sharedItems>
    </cacheField>
    <cacheField name="[Order].[Occasion].[Occasion]" caption="Occasion" numFmtId="0" hierarchy="21" level="1">
      <sharedItems containsSemiMixedTypes="0" containsNonDate="0" containsString="0"/>
    </cacheField>
    <cacheField name="[Order].[Delivary_date].[Delivary_date]" caption="Delivary_date" numFmtId="0" hierarchy="19"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Phone]" caption="Phone" attribute="1" defaultMemberUniqueName="[Customers].[Phone].[All]" allUniqueName="[Customers].[Phone].[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ProjectData].[Name]" caption="Name" attribute="1" defaultMemberUniqueName="[ExcelProjectData].[Name].[All]" allUniqueName="[ExcelProjectData].[Name].[All]" dimensionUniqueName="[ExcelProjectData]" displayFolder="" count="2" memberValueDatatype="130" unbalanced="0"/>
    <cacheHierarchy uniqueName="[ExcelProjectData].[Extension]" caption="Extension" attribute="1" defaultMemberUniqueName="[ExcelProjectData].[Extension].[All]" allUniqueName="[ExcelProjectData].[Extension].[All]" dimensionUniqueName="[ExcelProjectData]" displayFolder="" count="2" memberValueDatatype="130" unbalanced="0"/>
    <cacheHierarchy uniqueName="[ExcelProjectData].[Date accessed]" caption="Date accessed" attribute="1" time="1" defaultMemberUniqueName="[ExcelProjectData].[Date accessed].[All]" allUniqueName="[ExcelProjectData].[Date accessed].[All]" dimensionUniqueName="[ExcelProjectData]" displayFolder="" count="2" memberValueDatatype="7" unbalanced="0"/>
    <cacheHierarchy uniqueName="[ExcelProjectData].[Date modified]" caption="Date modified" attribute="1" time="1" defaultMemberUniqueName="[ExcelProjectData].[Date modified].[All]" allUniqueName="[ExcelProjectData].[Date modified].[All]" dimensionUniqueName="[ExcelProjectData]" displayFolder="" count="2" memberValueDatatype="7" unbalanced="0"/>
    <cacheHierarchy uniqueName="[ExcelProjectData].[Date created]" caption="Date created" attribute="1" time="1" defaultMemberUniqueName="[ExcelProjectData].[Date created].[All]" allUniqueName="[ExcelProjectData].[Date created].[All]" dimensionUniqueName="[ExcelProjectData]" displayFolder="" count="2" memberValueDatatype="7" unbalanced="0"/>
    <cacheHierarchy uniqueName="[ExcelProjectData].[Folder Path]" caption="Folder Path" attribute="1" defaultMemberUniqueName="[ExcelProjectData].[Folder Path].[All]" allUniqueName="[ExcelProjectData].[Folder Path].[All]" dimensionUniqueName="[ExcelProjectData]"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ary_date]" caption="Delivary_date" attribute="1" time="1" defaultMemberUniqueName="[Order].[Delivary_date].[All]" allUniqueName="[Order].[Delivary_date].[All]" dimensionUniqueName="[Order]" displayFolder="" count="2" memberValueDatatype="7" unbalanced="0">
      <fieldsUsage count="2">
        <fieldUsage x="-1"/>
        <fieldUsage x="4"/>
      </fieldsUsage>
    </cacheHierarchy>
    <cacheHierarchy uniqueName="[Order].[Delivery_Time]" caption="Delivery_Time" attribute="1" time="1" defaultMemberUniqueName="[Order].[Delivery_Time].[All]" allUniqueName="[Order].[Delivery_Time].[All]" dimensionUniqueName="[Order]" displayFolder="" count="2" memberValueDatatype="7"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2"/>
      </fieldsUsage>
    </cacheHierarchy>
    <cacheHierarchy uniqueName="[Order].[Hour(Order_Time)]" caption="Hour(Order_Time)" attribute="1" defaultMemberUniqueName="[Order].[Hour(Order_Time)].[All]" allUniqueName="[Order].[Hour(Order_Time)].[All]" dimensionUniqueName="[Order]" displayFolder="" count="2" memberValueDatatype="20" unbalanced="0"/>
    <cacheHierarchy uniqueName="[Order].[Hour(Delivary_Time)]" caption="Hour(Delivary_Time)" attribute="1" defaultMemberUniqueName="[Order].[Hour(Delivary_Time)].[All]" allUniqueName="[Order].[Hour(Delivary_Time)].[All]" dimensionUniqueName="[Order]" displayFolder="" count="2" memberValueDatatype="20" unbalanced="0"/>
    <cacheHierarchy uniqueName="[Order].[Diff_order_delivary]" caption="Diff_order_delivary" attribute="1" defaultMemberUniqueName="[Order].[Diff_order_delivary].[All]" allUniqueName="[Order].[Diff_order_delivary].[All]" dimensionUniqueName="[Order]" displayFolder="" count="2" memberValueDatatype="20" unbalanced="0"/>
    <cacheHierarchy uniqueName="[Order].[Price (PKR)]" caption="Price (PKR)" attribute="1" defaultMemberUniqueName="[Order].[Price (PKR)].[All]" allUniqueName="[Order].[Price (PKR)].[All]" dimensionUniqueName="[Order]" displayFolder="" count="2" memberValueDatatype="20" unbalanced="0"/>
    <cacheHierarchy uniqueName="[Order].[Revenue]" caption="Revenue" attribute="1" defaultMemberUniqueName="[Order].[Revenue].[All]" allUniqueName="[Order].[Revenue].[All]" dimensionUniqueName="[Order]" displayFolder="" count="2" memberValueDatatype="20" unbalanced="0"/>
    <cacheHierarchy uniqueName="[Order].[Day Name(order date)]" caption="Day Name(order date)" attribute="1" defaultMemberUniqueName="[Order].[Day Name(order date)].[All]" allUniqueName="[Order].[Day Name(order date)].[All]" dimensionUniqueName="[Order]" displayFolder="" count="2" memberValueDatatype="130" unbalanced="0"/>
    <cacheHierarchy uniqueName="[Order].[Order_date (Year)]" caption="Order_date (Year)" attribute="1" defaultMemberUniqueName="[Order].[Order_date (Year)].[All]" allUniqueName="[Order].[Order_date (Year)].[All]" dimensionUniqueName="[Order]" displayFolder="" count="2" memberValueDatatype="130" unbalanced="0"/>
    <cacheHierarchy uniqueName="[Order].[Order_date (Quarter)]" caption="Order_date (Quarter)" attribute="1" defaultMemberUniqueName="[Order].[Order_date (Quarter)].[All]" allUniqueName="[Order].[Order_date (Quarter)].[All]" dimensionUniqueName="[Order]" displayFolder="" count="2" memberValueDatatype="130" unbalanced="0"/>
    <cacheHierarchy uniqueName="[Order].[Order_date (Month)]" caption="Order_date (Month)" attribute="1" defaultMemberUniqueName="[Order].[Order_date (Month)].[All]" allUniqueName="[Order].[Order_date (Month)].[All]" dimensionUniqueName="[Order]"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PKR)]" caption="Price (PKR)" attribute="1" defaultMemberUniqueName="[products].[Price (PKR)].[All]" allUniqueName="[products].[Price (PKR)].[All]" dimensionUniqueName="[products]" displayFolder="" count="2" memberValueDatatype="2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Ocassion]" caption="Ocassion" attribute="1" defaultMemberUniqueName="[products].[Ocassion].[All]" allUniqueName="[products].[Ocassion].[All]" dimensionUniqueName="[products]" displayFolder="" count="2" memberValueDatatype="130" unbalanced="0"/>
    <cacheHierarchy uniqueName="[products].[Column1]" caption="Column1" attribute="1" defaultMemberUniqueName="[products].[Column1].[All]" allUniqueName="[products].[Column1].[All]" dimensionUniqueName="[products]" displayFolder="" count="2" memberValueDatatype="130" unbalanced="0"/>
    <cacheHierarchy uniqueName="[Order].[Order_date (Month Index)]" caption="Order_date (Month Index)" attribute="1" defaultMemberUniqueName="[Order].[Order_date (Month Index)].[All]" allUniqueName="[Order].[Order_date (Month Index)].[All]" dimensionUniqueName="[Order]" displayFolder="" count="2"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XL_Count ExcelProjectData]" caption="__XL_Count ExcelProjectData" measure="1" displayFolder="" measureGroup="ExcelProjectData" count="0" hidden="1"/>
    <cacheHierarchy uniqueName="[Measures].[__No measures defined]" caption="__No measures defined" measure="1" displayFolder="" count="0" hidden="1"/>
    <cacheHierarchy uniqueName="[Measures].[Sum of Price (PKR)]" caption="Sum of Price (PKR)"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Diff_order_delivary]" caption="Sum of Diff_order_delivary" measure="1" displayFolder="" measureGroup="Order" count="0" hidden="1">
      <extLst>
        <ext xmlns:x15="http://schemas.microsoft.com/office/spreadsheetml/2010/11/main" uri="{B97F6D7D-B522-45F9-BDA1-12C45D357490}">
          <x15:cacheHierarchy aggregatedColumn="25"/>
        </ext>
      </extLst>
    </cacheHierarchy>
    <cacheHierarchy uniqueName="[Measures].[Average of Diff_order_delivary]" caption="Average of Diff_order_delivary" measure="1" displayFolder="" measureGroup="Order"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name="ExcelProjectData" uniqueName="[ExcelProjectData]" caption="ExcelProjectData"/>
    <dimension measure="1" name="Measures" uniqueName="[Measures]" caption="Measures"/>
    <dimension name="Order" uniqueName="[Order]" caption="Order"/>
    <dimension name="products" uniqueName="[products]" caption="products"/>
  </dimensions>
  <measureGroups count="4">
    <measureGroup name="Customers" caption="Customers"/>
    <measureGroup name="ExcelProjectData" caption="ExcelProjectData"/>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8.810563194442" backgroundQuery="1" createdVersion="8" refreshedVersion="8" minRefreshableVersion="3" recordCount="0" supportSubquery="1" supportAdvancedDrill="1" xr:uid="{64C439F5-607D-401D-8DDE-67876476023B}">
  <cacheSource type="external" connectionId="5"/>
  <cacheFields count="5">
    <cacheField name="[products].[Category].[Category]" caption="Category" numFmtId="0" hierarchy="34" level="1">
      <sharedItems count="6">
        <s v="Cake"/>
        <s v="Colors"/>
        <s v="Mugs"/>
        <s v="Plants"/>
        <s v="Soft Toys"/>
        <s v="Sweets"/>
      </sharedItems>
    </cacheField>
    <cacheField name="[Measures].[Sum of Revenue]" caption="Sum of Revenue" numFmtId="0" hierarchy="46" level="32767"/>
    <cacheField name="[Order].[Month Name].[Month Name]" caption="Month Name" numFmtId="0" hierarchy="22"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5">
        <s v="Deserunt Box"/>
        <s v="Harum Pack"/>
        <s v="Nam Gift"/>
        <s v="Quos Box"/>
        <s v="Sed Set"/>
      </sharedItems>
    </cacheField>
    <cacheField name="[Order].[Occasion].[Occasion]" caption="Occasion" numFmtId="0" hierarchy="21"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Data].[Name]" caption="Name" attribute="1" defaultMemberUniqueName="[ExcelProjectData].[Name].[All]" allUniqueName="[ExcelProjectData].[Name].[All]" dimensionUniqueName="[ExcelProjectData]" displayFolder="" count="0" memberValueDatatype="130" unbalanced="0"/>
    <cacheHierarchy uniqueName="[ExcelProjectData].[Extension]" caption="Extension" attribute="1" defaultMemberUniqueName="[ExcelProjectData].[Extension].[All]" allUniqueName="[ExcelProjectData].[Extension].[All]" dimensionUniqueName="[ExcelProjectData]" displayFolder="" count="0" memberValueDatatype="130" unbalanced="0"/>
    <cacheHierarchy uniqueName="[ExcelProjectData].[Date accessed]" caption="Date accessed" attribute="1" time="1" defaultMemberUniqueName="[ExcelProjectData].[Date accessed].[All]" allUniqueName="[ExcelProjectData].[Date accessed].[All]" dimensionUniqueName="[ExcelProjectData]" displayFolder="" count="0" memberValueDatatype="7" unbalanced="0"/>
    <cacheHierarchy uniqueName="[ExcelProjectData].[Date modified]" caption="Date modified" attribute="1" time="1" defaultMemberUniqueName="[ExcelProjectData].[Date modified].[All]" allUniqueName="[ExcelProjectData].[Date modified].[All]" dimensionUniqueName="[ExcelProjectData]" displayFolder="" count="0" memberValueDatatype="7" unbalanced="0"/>
    <cacheHierarchy uniqueName="[ExcelProjectData].[Date created]" caption="Date created" attribute="1" time="1" defaultMemberUniqueName="[ExcelProjectData].[Date created].[All]" allUniqueName="[ExcelProjectData].[Date created].[All]" dimensionUniqueName="[ExcelProjectData]" displayFolder="" count="0" memberValueDatatype="7" unbalanced="0"/>
    <cacheHierarchy uniqueName="[ExcelProjectData].[Folder Path]" caption="Folder Path" attribute="1" defaultMemberUniqueName="[ExcelProjectData].[Folder Path].[All]" allUniqueName="[ExcelProjectData].[Folder Path].[All]" dimensionUniqueName="[ExcelProject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ary_date]" caption="Delivary_date" attribute="1" time="1" defaultMemberUniqueName="[Order].[Delivary_date].[All]" allUniqueName="[Order].[Deliva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2"/>
      </fieldsUsage>
    </cacheHierarchy>
    <cacheHierarchy uniqueName="[Order].[Hour(Order_Time)]" caption="Hour(Order_Time)" attribute="1" defaultMemberUniqueName="[Order].[Hour(Order_Time)].[All]" allUniqueName="[Order].[Hour(Order_Time)].[All]" dimensionUniqueName="[Order]" displayFolder="" count="0" memberValueDatatype="20" unbalanced="0"/>
    <cacheHierarchy uniqueName="[Order].[Hour(Delivary_Time)]" caption="Hour(Delivary_Time)" attribute="1" defaultMemberUniqueName="[Order].[Hour(Delivary_Time)].[All]" allUniqueName="[Order].[Hour(Delivary_Time)].[All]" dimensionUniqueName="[Order]" displayFolder="" count="0" memberValueDatatype="20" unbalanced="0"/>
    <cacheHierarchy uniqueName="[Order].[Diff_order_delivary]" caption="Diff_order_delivary" attribute="1" defaultMemberUniqueName="[Order].[Diff_order_delivary].[All]" allUniqueName="[Order].[Diff_order_delivary].[All]" dimensionUniqueName="[Order]" displayFolder="" count="0" memberValueDatatype="20" unbalanced="0"/>
    <cacheHierarchy uniqueName="[Order].[Price (PKR)]" caption="Price (PKR)" attribute="1" defaultMemberUniqueName="[Order].[Price (PKR)].[All]" allUniqueName="[Order].[Price (PK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Order_date (Year)]" caption="Order_date (Year)" attribute="1" defaultMemberUniqueName="[Order].[Order_date (Year)].[All]" allUniqueName="[Order].[Order_date (Year)].[All]" dimensionUniqueName="[Order]" displayFolder="" count="0"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PKR)]" caption="Price (PKR)" attribute="1" defaultMemberUniqueName="[products].[Price (PKR)].[All]" allUniqueName="[products].[Price (PKR)].[All]" dimensionUniqueName="[products]" displayFolder="" count="0" memberValueDatatype="2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Ocassion]" caption="Ocassion" attribute="1" defaultMemberUniqueName="[products].[Ocassion].[All]" allUniqueName="[products].[Ocassion].[All]" dimensionUniqueName="[products]" displayFolder="" count="0" memberValueDatatype="130" unbalanced="0"/>
    <cacheHierarchy uniqueName="[products].[Column1]" caption="Column1" attribute="1" defaultMemberUniqueName="[products].[Column1].[All]" allUniqueName="[products].[Column1].[All]" dimensionUniqueName="[product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XL_Count ExcelProjectData]" caption="__XL_Count ExcelProjectData" measure="1" displayFolder="" measureGroup="ExcelProjectData" count="0" hidden="1"/>
    <cacheHierarchy uniqueName="[Measures].[__No measures defined]" caption="__No measures defined" measure="1" displayFolder="" count="0" hidden="1"/>
    <cacheHierarchy uniqueName="[Measures].[Sum of Price (PKR)]" caption="Sum of Price (PKR)"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Diff_order_delivary]" caption="Sum of Diff_order_delivary" measure="1" displayFolder="" measureGroup="Order" count="0" hidden="1">
      <extLst>
        <ext xmlns:x15="http://schemas.microsoft.com/office/spreadsheetml/2010/11/main" uri="{B97F6D7D-B522-45F9-BDA1-12C45D357490}">
          <x15:cacheHierarchy aggregatedColumn="25"/>
        </ext>
      </extLst>
    </cacheHierarchy>
    <cacheHierarchy uniqueName="[Measures].[Average of Diff_order_delivary]" caption="Average of Diff_order_delivary" measure="1" displayFolder="" measureGroup="Order"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name="ExcelProjectData" uniqueName="[ExcelProjectData]" caption="ExcelProjectData"/>
    <dimension measure="1" name="Measures" uniqueName="[Measures]" caption="Measures"/>
    <dimension name="Order" uniqueName="[Order]" caption="Order"/>
    <dimension name="products" uniqueName="[products]" caption="products"/>
  </dimensions>
  <measureGroups count="4">
    <measureGroup name="Customers" caption="Customers"/>
    <measureGroup name="ExcelProjectData" caption="ExcelProjectData"/>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57.775487962965" backgroundQuery="1" createdVersion="3" refreshedVersion="8" minRefreshableVersion="3" recordCount="0" supportSubquery="1" supportAdvancedDrill="1" xr:uid="{F7ADE108-977E-42E7-B247-EC71795EB53A}">
  <cacheSource type="external" connectionId="5">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Data].[Name]" caption="Name" attribute="1" defaultMemberUniqueName="[ExcelProjectData].[Name].[All]" allUniqueName="[ExcelProjectData].[Name].[All]" dimensionUniqueName="[ExcelProjectData]" displayFolder="" count="0" memberValueDatatype="130" unbalanced="0"/>
    <cacheHierarchy uniqueName="[ExcelProjectData].[Extension]" caption="Extension" attribute="1" defaultMemberUniqueName="[ExcelProjectData].[Extension].[All]" allUniqueName="[ExcelProjectData].[Extension].[All]" dimensionUniqueName="[ExcelProjectData]" displayFolder="" count="0" memberValueDatatype="130" unbalanced="0"/>
    <cacheHierarchy uniqueName="[ExcelProjectData].[Date accessed]" caption="Date accessed" attribute="1" time="1" defaultMemberUniqueName="[ExcelProjectData].[Date accessed].[All]" allUniqueName="[ExcelProjectData].[Date accessed].[All]" dimensionUniqueName="[ExcelProjectData]" displayFolder="" count="0" memberValueDatatype="7" unbalanced="0"/>
    <cacheHierarchy uniqueName="[ExcelProjectData].[Date modified]" caption="Date modified" attribute="1" time="1" defaultMemberUniqueName="[ExcelProjectData].[Date modified].[All]" allUniqueName="[ExcelProjectData].[Date modified].[All]" dimensionUniqueName="[ExcelProjectData]" displayFolder="" count="0" memberValueDatatype="7" unbalanced="0"/>
    <cacheHierarchy uniqueName="[ExcelProjectData].[Date created]" caption="Date created" attribute="1" time="1" defaultMemberUniqueName="[ExcelProjectData].[Date created].[All]" allUniqueName="[ExcelProjectData].[Date created].[All]" dimensionUniqueName="[ExcelProjectData]" displayFolder="" count="0" memberValueDatatype="7" unbalanced="0"/>
    <cacheHierarchy uniqueName="[ExcelProjectData].[Folder Path]" caption="Folder Path" attribute="1" defaultMemberUniqueName="[ExcelProjectData].[Folder Path].[All]" allUniqueName="[ExcelProjectData].[Folder Path].[All]" dimensionUniqueName="[ExcelProject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ary_date]" caption="Delivary_date" attribute="1" time="1" defaultMemberUniqueName="[Order].[Delivary_date].[All]" allUniqueName="[Order].[Deliva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_Time)]" caption="Hour(Order_Time)" attribute="1" defaultMemberUniqueName="[Order].[Hour(Order_Time)].[All]" allUniqueName="[Order].[Hour(Order_Time)].[All]" dimensionUniqueName="[Order]" displayFolder="" count="0" memberValueDatatype="20" unbalanced="0"/>
    <cacheHierarchy uniqueName="[Order].[Hour(Delivary_Time)]" caption="Hour(Delivary_Time)" attribute="1" defaultMemberUniqueName="[Order].[Hour(Delivary_Time)].[All]" allUniqueName="[Order].[Hour(Delivary_Time)].[All]" dimensionUniqueName="[Order]" displayFolder="" count="0" memberValueDatatype="20" unbalanced="0"/>
    <cacheHierarchy uniqueName="[Order].[Diff_order_delivary]" caption="Diff_order_delivary" attribute="1" defaultMemberUniqueName="[Order].[Diff_order_delivary].[All]" allUniqueName="[Order].[Diff_order_delivary].[All]" dimensionUniqueName="[Order]" displayFolder="" count="0" memberValueDatatype="20" unbalanced="0"/>
    <cacheHierarchy uniqueName="[Order].[Price (PKR)]" caption="Price (PKR)" attribute="1" defaultMemberUniqueName="[Order].[Price (PKR)].[All]" allUniqueName="[Order].[Price (PK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Order_date (Year)]" caption="Order_date (Year)" attribute="1" defaultMemberUniqueName="[Order].[Order_date (Year)].[All]" allUniqueName="[Order].[Order_date (Year)].[All]" dimensionUniqueName="[Order]" displayFolder="" count="0"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PKR)]" caption="Price (PKR)" attribute="1" defaultMemberUniqueName="[products].[Price (PKR)].[All]" allUniqueName="[products].[Price (PKR)].[All]" dimensionUniqueName="[products]" displayFolder="" count="0" memberValueDatatype="2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Ocassion]" caption="Ocassion" attribute="1" defaultMemberUniqueName="[products].[Ocassion].[All]" allUniqueName="[products].[Ocassion].[All]" dimensionUniqueName="[products]" displayFolder="" count="0" memberValueDatatype="130" unbalanced="0"/>
    <cacheHierarchy uniqueName="[products].[Column1]" caption="Column1" attribute="1" defaultMemberUniqueName="[products].[Column1].[All]" allUniqueName="[products].[Column1].[All]" dimensionUniqueName="[product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XL_Count ExcelProjectData]" caption="__XL_Count ExcelProjectData" measure="1" displayFolder="" measureGroup="ExcelProjectData" count="0" hidden="1"/>
    <cacheHierarchy uniqueName="[Measures].[__No measures defined]" caption="__No measures defined" measure="1" displayFolder="" count="0" hidden="1"/>
    <cacheHierarchy uniqueName="[Measures].[Sum of Price (PKR)]" caption="Sum of Price (PKR)"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7"/>
        </ext>
      </extLst>
    </cacheHierarchy>
    <cacheHierarchy uniqueName="[Measures].[Sum of Diff_order_delivary]" caption="Sum of Diff_order_delivary" measure="1" displayFolder="" measureGroup="Order" count="0" hidden="1">
      <extLst>
        <ext xmlns:x15="http://schemas.microsoft.com/office/spreadsheetml/2010/11/main" uri="{B97F6D7D-B522-45F9-BDA1-12C45D357490}">
          <x15:cacheHierarchy aggregatedColumn="25"/>
        </ext>
      </extLst>
    </cacheHierarchy>
    <cacheHierarchy uniqueName="[Measures].[Average of Diff_order_delivary]" caption="Average of Diff_order_delivary" measure="1" displayFolder="" measureGroup="Order"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327795581"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57.893917013891" backgroundQuery="1" createdVersion="3" refreshedVersion="8" minRefreshableVersion="3" recordCount="0" supportSubquery="1" supportAdvancedDrill="1" xr:uid="{15003D84-0856-4C3B-ABDD-7E6ABD14753D}">
  <cacheSource type="external" connectionId="5">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Data].[Name]" caption="Name" attribute="1" defaultMemberUniqueName="[ExcelProjectData].[Name].[All]" allUniqueName="[ExcelProjectData].[Name].[All]" dimensionUniqueName="[ExcelProjectData]" displayFolder="" count="0" memberValueDatatype="130" unbalanced="0"/>
    <cacheHierarchy uniqueName="[ExcelProjectData].[Extension]" caption="Extension" attribute="1" defaultMemberUniqueName="[ExcelProjectData].[Extension].[All]" allUniqueName="[ExcelProjectData].[Extension].[All]" dimensionUniqueName="[ExcelProjectData]" displayFolder="" count="0" memberValueDatatype="130" unbalanced="0"/>
    <cacheHierarchy uniqueName="[ExcelProjectData].[Date accessed]" caption="Date accessed" attribute="1" time="1" defaultMemberUniqueName="[ExcelProjectData].[Date accessed].[All]" allUniqueName="[ExcelProjectData].[Date accessed].[All]" dimensionUniqueName="[ExcelProjectData]" displayFolder="" count="0" memberValueDatatype="7" unbalanced="0"/>
    <cacheHierarchy uniqueName="[ExcelProjectData].[Date modified]" caption="Date modified" attribute="1" time="1" defaultMemberUniqueName="[ExcelProjectData].[Date modified].[All]" allUniqueName="[ExcelProjectData].[Date modified].[All]" dimensionUniqueName="[ExcelProjectData]" displayFolder="" count="0" memberValueDatatype="7" unbalanced="0"/>
    <cacheHierarchy uniqueName="[ExcelProjectData].[Date created]" caption="Date created" attribute="1" time="1" defaultMemberUniqueName="[ExcelProjectData].[Date created].[All]" allUniqueName="[ExcelProjectData].[Date created].[All]" dimensionUniqueName="[ExcelProjectData]" displayFolder="" count="0" memberValueDatatype="7" unbalanced="0"/>
    <cacheHierarchy uniqueName="[ExcelProjectData].[Folder Path]" caption="Folder Path" attribute="1" defaultMemberUniqueName="[ExcelProjectData].[Folder Path].[All]" allUniqueName="[ExcelProjectData].[Folder Path].[All]" dimensionUniqueName="[ExcelProject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ary_date]" caption="Delivary_date" attribute="1" time="1" defaultMemberUniqueName="[Order].[Delivary_date].[All]" allUniqueName="[Order].[Deliva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_Time)]" caption="Hour(Order_Time)" attribute="1" defaultMemberUniqueName="[Order].[Hour(Order_Time)].[All]" allUniqueName="[Order].[Hour(Order_Time)].[All]" dimensionUniqueName="[Order]" displayFolder="" count="0" memberValueDatatype="20" unbalanced="0"/>
    <cacheHierarchy uniqueName="[Order].[Hour(Delivary_Time)]" caption="Hour(Delivary_Time)" attribute="1" defaultMemberUniqueName="[Order].[Hour(Delivary_Time)].[All]" allUniqueName="[Order].[Hour(Delivary_Time)].[All]" dimensionUniqueName="[Order]" displayFolder="" count="0" memberValueDatatype="20" unbalanced="0"/>
    <cacheHierarchy uniqueName="[Order].[Diff_order_delivary]" caption="Diff_order_delivary" attribute="1" defaultMemberUniqueName="[Order].[Diff_order_delivary].[All]" allUniqueName="[Order].[Diff_order_delivary].[All]" dimensionUniqueName="[Order]" displayFolder="" count="0" memberValueDatatype="20" unbalanced="0"/>
    <cacheHierarchy uniqueName="[Order].[Price (PKR)]" caption="Price (PKR)" attribute="1" defaultMemberUniqueName="[Order].[Price (PKR)].[All]" allUniqueName="[Order].[Price (PK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Order_date (Year)]" caption="Order_date (Year)" attribute="1" defaultMemberUniqueName="[Order].[Order_date (Year)].[All]" allUniqueName="[Order].[Order_date (Year)].[All]" dimensionUniqueName="[Order]" displayFolder="" count="0"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PKR)]" caption="Price (PKR)" attribute="1" defaultMemberUniqueName="[products].[Price (PKR)].[All]" allUniqueName="[products].[Price (PKR)].[All]" dimensionUniqueName="[products]" displayFolder="" count="0" memberValueDatatype="2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Ocassion]" caption="Ocassion" attribute="1" defaultMemberUniqueName="[products].[Ocassion].[All]" allUniqueName="[products].[Ocassion].[All]" dimensionUniqueName="[products]" displayFolder="" count="0" memberValueDatatype="130" unbalanced="0"/>
    <cacheHierarchy uniqueName="[products].[Column1]" caption="Column1" attribute="1" defaultMemberUniqueName="[products].[Column1].[All]" allUniqueName="[products].[Column1].[All]" dimensionUniqueName="[product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XL_Count ExcelProjectData]" caption="__XL_Count ExcelProjectData" measure="1" displayFolder="" measureGroup="ExcelProjectData" count="0" hidden="1"/>
    <cacheHierarchy uniqueName="[Measures].[__No measures defined]" caption="__No measures defined" measure="1" displayFolder="" count="0" hidden="1"/>
    <cacheHierarchy uniqueName="[Measures].[Sum of Price (PKR)]" caption="Sum of Price (PKR)" measure="1" displayFolder="" measureGroup="product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7"/>
        </ext>
      </extLst>
    </cacheHierarchy>
    <cacheHierarchy uniqueName="[Measures].[Sum of Diff_order_delivary]" caption="Sum of Diff_order_delivary" measure="1" displayFolder="" measureGroup="Order" count="0" hidden="1">
      <extLst>
        <ext xmlns:x15="http://schemas.microsoft.com/office/spreadsheetml/2010/11/main" uri="{B97F6D7D-B522-45F9-BDA1-12C45D357490}">
          <x15:cacheHierarchy aggregatedColumn="25"/>
        </ext>
      </extLst>
    </cacheHierarchy>
    <cacheHierarchy uniqueName="[Measures].[Average of Diff_order_delivary]" caption="Average of Diff_order_delivary" measure="1" displayFolder="" measureGroup="Order"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pivotCacheId="24343634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24376A-ABDD-4F07-92A5-302E214495C1}" name="PivotTable12" cacheId="3" applyNumberFormats="0" applyBorderFormats="0" applyFontFormats="0" applyPatternFormats="0" applyAlignmentFormats="0" applyWidthHeightFormats="1" dataCaption="Values" tag="de9be166-4698-4352-9c6f-896bf66e9509" updatedVersion="8" minRefreshableVersion="5" useAutoFormatting="1" subtotalHiddenItems="1" itemPrintTitles="1" createdVersion="8" indent="0" outline="1" outlineData="1" multipleFieldFilters="0" chartFormat="10">
  <location ref="I24:J31" firstHeaderRow="1" firstDataRow="1" firstDataCol="1"/>
  <pivotFields count="6">
    <pivotField allDrilled="1" subtotalTop="0" showAll="0" dataSourceSort="1" defaultSubtotal="0" defaultAttributeDrillState="1">
      <items count="6">
        <item s="1" x="0"/>
        <item s="1" x="1"/>
        <item s="1" x="2"/>
        <item s="1" x="3"/>
        <item s="1" x="4"/>
        <item s="1" x="5"/>
      </items>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7">
    <i>
      <x/>
    </i>
    <i>
      <x v="1"/>
    </i>
    <i>
      <x v="2"/>
    </i>
    <i>
      <x v="3"/>
    </i>
    <i>
      <x v="4"/>
    </i>
    <i>
      <x v="5"/>
    </i>
    <i t="grand">
      <x/>
    </i>
  </rowItems>
  <colItems count="1">
    <i/>
  </colItems>
  <dataFields count="1">
    <dataField name="Sum of Revenue" fld="1" baseField="0" baseItem="0" numFmtId="165"/>
  </dataFields>
  <formats count="1">
    <format dxfId="0">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3" name="[Order].[Delivary_date]">
      <autoFilter ref="A1">
        <filterColumn colId="0">
          <customFilters and="1">
            <customFilter operator="greaterThanOrEqual" val="44562"/>
            <customFilter operator="lessThanOrEqual" val="44592"/>
          </customFilters>
        </filterColumn>
      </autoFilter>
      <extLst>
        <ext xmlns:x15="http://schemas.microsoft.com/office/spreadsheetml/2010/11/main" uri="{0605FD5F-26C8-4aeb-8148-2DB25E43C511}">
          <x15:pivotFilter useWholeDay="1"/>
        </ext>
      </extLst>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788579-31F3-4F5B-9879-508B5A501ED5}" name="PivotTable8" cacheId="6" applyNumberFormats="0" applyBorderFormats="0" applyFontFormats="0" applyPatternFormats="0" applyAlignmentFormats="0" applyWidthHeightFormats="1" dataCaption="Values" tag="1dedfbe9-9c12-442a-bb38-d71f66d2a544" updatedVersion="8" minRefreshableVersion="5" useAutoFormatting="1" subtotalHiddenItems="1" itemPrintTitles="1" createdVersion="8" indent="0" outline="1" outlineData="1" multipleFieldFilters="0" chartFormat="5">
  <location ref="B23:C28" firstHeaderRow="1" firstDataRow="1" firstDataCol="1"/>
  <pivotFields count="5">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 fld="1" baseField="0" baseItem="0" numFmtId="165"/>
  </dataFields>
  <formats count="1">
    <format dxfId="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5" name="[Order].[Delivary_date]">
      <autoFilter ref="A1">
        <filterColumn colId="0">
          <customFilters and="1">
            <customFilter operator="greaterThanOrEqual" val="44562"/>
            <customFilter operator="lessThanOrEqual" val="44592"/>
          </customFilters>
        </filterColumn>
      </autoFilter>
      <extLst>
        <ext xmlns:x15="http://schemas.microsoft.com/office/spreadsheetml/2010/11/main" uri="{0605FD5F-26C8-4aeb-8148-2DB25E43C511}">
          <x15:pivotFilter useWholeDay="1"/>
        </ext>
      </extLst>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D55CC5-FE17-44F3-A0B5-8C761C1FAA30}" name="PivotTable11" cacheId="2" applyNumberFormats="0" applyBorderFormats="0" applyFontFormats="0" applyPatternFormats="0" applyAlignmentFormats="0" applyWidthHeightFormats="1" dataCaption="Values" tag="9b36e37e-0428-434e-b45a-730af93abb82" updatedVersion="8" minRefreshableVersion="5" useAutoFormatting="1" subtotalHiddenItems="1" itemPrintTitles="1" createdVersion="8" indent="0" outline="1" outlineData="1" multipleFieldFilters="0" chartFormat="9">
  <location ref="I34:J36" firstHeaderRow="1" firstDataRow="1" firstDataCol="1"/>
  <pivotFields count="5">
    <pivotField allDrilled="1" subtotalTop="0" showAll="0" dataSourceSort="1" defaultSubtotal="0" defaultAttributeDrillState="1">
      <items count="6">
        <item s="1" x="0"/>
        <item s="1" x="1"/>
        <item s="1" x="2"/>
        <item s="1" x="3"/>
        <item s="1" x="4"/>
        <item s="1" x="5"/>
      </items>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3"/>
  </rowFields>
  <rowItems count="2">
    <i>
      <x/>
    </i>
    <i t="grand">
      <x/>
    </i>
  </rowItems>
  <colItems count="1">
    <i/>
  </colItems>
  <dataFields count="1">
    <dataField name="Sum of Revenue" fld="1" baseField="0" baseItem="0" numFmtId="165"/>
  </dataFields>
  <formats count="1">
    <format dxfId="2">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3" name="[Order].[Delivary_date]">
      <autoFilter ref="A1">
        <filterColumn colId="0">
          <customFilters and="1">
            <customFilter operator="greaterThanOrEqual" val="44562"/>
            <customFilter operator="lessThanOrEqual" val="44592"/>
          </customFilters>
        </filterColumn>
      </autoFilter>
      <extLst>
        <ext xmlns:x15="http://schemas.microsoft.com/office/spreadsheetml/2010/11/main" uri="{0605FD5F-26C8-4aeb-8148-2DB25E43C511}">
          <x15:pivotFilter useWholeDay="1"/>
        </ext>
      </extLst>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F62F85-561F-4CF2-92E3-FCFF94D0472D}" name="PivotTable6" cacheId="5" applyNumberFormats="0" applyBorderFormats="0" applyFontFormats="0" applyPatternFormats="0" applyAlignmentFormats="0" applyWidthHeightFormats="1" dataCaption="Values" tag="17a613b0-3b4c-4f79-9e1d-1fcd787f1fa5" updatedVersion="8" minRefreshableVersion="5" useAutoFormatting="1" subtotalHiddenItems="1" itemPrintTitles="1" createdVersion="8" indent="0" outline="1" outlineData="1" multipleFieldFilters="0">
  <location ref="E10:F11"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Average of Revenue" fld="1" subtotal="average" baseField="0" baseItem="1" numFmtId="166"/>
    <dataField name="Average of Diff_order_delivary" fld="0" subtotal="average" baseField="0" baseItem="0"/>
  </dataFields>
  <formats count="1">
    <format dxfId="3">
      <pivotArea outline="0" collapsedLevelsAreSubtotals="1" fieldPosition="0">
        <references count="1">
          <reference field="4294967294" count="1" selected="0">
            <x v="0"/>
          </reference>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caption="Average of Diff_order_delivary"/>
    <pivotHierarchy dragToData="1" caption="Average of Revenue"/>
    <pivotHierarchy dragToData="1"/>
    <pivotHierarchy dragToData="1"/>
  </pivotHierarchies>
  <pivotTableStyleInfo name="PivotStyleLight16" showRowHeaders="1" showColHeaders="1" showRowStripes="0" showColStripes="0" showLastColumn="1"/>
  <filters count="1">
    <filter fld="3" type="dateBetween" evalOrder="-1" id="3" name="[Order].[Delivary_date]">
      <autoFilter ref="A1">
        <filterColumn colId="0">
          <customFilters and="1">
            <customFilter operator="greaterThanOrEqual" val="44562"/>
            <customFilter operator="lessThanOrEqual" val="44592"/>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21358E-F549-4569-8484-C970D61B00B2}" name="PivotTable3" cacheId="4" applyNumberFormats="0" applyBorderFormats="0" applyFontFormats="0" applyPatternFormats="0" applyAlignmentFormats="0" applyWidthHeightFormats="1" dataCaption="Values" tag="32ab929b-51d6-44e9-8bbd-183bc2e1360d" updatedVersion="8" minRefreshableVersion="5" useAutoFormatting="1" subtotalHiddenItems="1" itemPrintTitles="1" createdVersion="8" indent="0" outline="1" outlineData="1" multipleFieldFilters="0" chartFormat="10">
  <location ref="B10:C13" firstHeaderRow="1" firstDataRow="1" firstDataCol="1"/>
  <pivotFields count="5">
    <pivotField allDrilled="1" subtotalTop="0" showAll="0" dataSourceSort="1" defaultSubtotal="0" defaultAttributeDrillState="1">
      <items count="6">
        <item s="1" x="0"/>
        <item s="1" x="1"/>
        <item s="1" x="2"/>
        <item s="1" x="3"/>
        <item s="1" x="4"/>
        <item s="1" x="5"/>
      </items>
    </pivotField>
    <pivotField dataField="1" subtotalTop="0" showAll="0" defaultSubtotal="0"/>
    <pivotField axis="axisRow" allDrilled="1" subtotalTop="0" showAll="0" sortType="ascending" defaultSubtotal="0" defaultAttributeDrillState="1">
      <items count="2">
        <item x="1"/>
        <item x="0"/>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Items count="1">
    <i/>
  </colItems>
  <dataFields count="1">
    <dataField name="Sum of Revenue" fld="1" baseField="0" baseItem="0" numFmtId="165"/>
  </dataFields>
  <formats count="3">
    <format dxfId="6">
      <pivotArea collapsedLevelsAreSubtotals="1" fieldPosition="0">
        <references count="1">
          <reference field="2" count="0"/>
        </references>
      </pivotArea>
    </format>
    <format dxfId="5">
      <pivotArea dataOnly="0" labelOnly="1" fieldPosition="0">
        <references count="1">
          <reference field="2" count="0"/>
        </references>
      </pivotArea>
    </format>
    <format dxfId="4">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3" name="[Order].[Delivary_date]">
      <autoFilter ref="A1">
        <filterColumn colId="0">
          <customFilters and="1">
            <customFilter operator="greaterThanOrEqual" val="44562"/>
            <customFilter operator="lessThanOrEqual" val="44592"/>
          </customFilters>
        </filterColumn>
      </autoFilter>
      <extLst>
        <ext xmlns:x15="http://schemas.microsoft.com/office/spreadsheetml/2010/11/main" uri="{0605FD5F-26C8-4aeb-8148-2DB25E43C511}">
          <x15:pivotFilter useWholeDay="1"/>
        </ext>
      </extLst>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AE19AB-5A7A-47ED-AB55-B5685699B82C}" name="PivotTable10" cacheId="1" applyNumberFormats="0" applyBorderFormats="0" applyFontFormats="0" applyPatternFormats="0" applyAlignmentFormats="0" applyWidthHeightFormats="1" dataCaption="Values" tag="207e8249-3234-43ed-a1a0-c5f499f22d7f" updatedVersion="8" minRefreshableVersion="5" useAutoFormatting="1" subtotalHiddenItems="1" itemPrintTitles="1" createdVersion="8" indent="0" outline="1" outlineData="1" multipleFieldFilters="0" chartFormat="6">
  <location ref="F34:G41" firstHeaderRow="1" firstDataRow="1" firstDataCol="1"/>
  <pivotFields count="6">
    <pivotField allDrilled="1" subtotalTop="0" showAll="0" dataSourceSort="1" defaultSubtotal="0" defaultAttributeDrillState="1">
      <items count="6">
        <item s="1" x="0"/>
        <item s="1" x="1"/>
        <item s="1" x="2"/>
        <item s="1" x="3"/>
        <item s="1" x="4"/>
        <item s="1" x="5"/>
      </items>
    </pivotField>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7">
    <i>
      <x/>
    </i>
    <i>
      <x v="1"/>
    </i>
    <i>
      <x v="2"/>
    </i>
    <i>
      <x v="3"/>
    </i>
    <i>
      <x v="4"/>
    </i>
    <i>
      <x v="5"/>
    </i>
    <i t="grand">
      <x/>
    </i>
  </rowItems>
  <colItems count="1">
    <i/>
  </colItems>
  <dataFields count="1">
    <dataField name="Count of Order_ID" fld="3" subtotal="count" baseField="2" baseItem="0"/>
  </dataFields>
  <chartFormats count="1">
    <chartFormat chart="5"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5" type="dateBetween" evalOrder="-1" id="3" name="[Order].[Delivary_date]">
      <autoFilter ref="A1">
        <filterColumn colId="0">
          <customFilters and="1">
            <customFilter operator="greaterThanOrEqual" val="44562"/>
            <customFilter operator="lessThanOrEqual" val="44592"/>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FCDA36-81E8-47A5-8FBA-BA83670D7EDF}" name="PivotTable13" cacheId="7" applyNumberFormats="0" applyBorderFormats="0" applyFontFormats="0" applyPatternFormats="0" applyAlignmentFormats="0" applyWidthHeightFormats="1" dataCaption="Values" tag="39dd28a5-0181-4ca7-bcdd-68cc9c2fec52" updatedVersion="8" minRefreshableVersion="3" useAutoFormatting="1" subtotalHiddenItems="1" itemPrintTitles="1" createdVersion="8" indent="0" outline="1" outlineData="1" multipleFieldFilters="0" chartFormat="7">
  <location ref="B15:C21" firstHeaderRow="1" firstDataRow="1" firstDataCol="1"/>
  <pivotFields count="5">
    <pivotField allDrilled="1" subtotalTop="0" showAll="0" dataSourceSort="1" defaultSubtotal="0" defaultAttributeDrillState="1">
      <items count="6">
        <item s="1" x="0"/>
        <item s="1" x="1"/>
        <item s="1" x="2"/>
        <item s="1" x="3"/>
        <item s="1" x="4"/>
        <item s="1" x="5"/>
      </items>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Sum of Revenue" fld="1" baseField="0" baseItem="0" numFmtId="165"/>
  </dataFields>
  <formats count="1">
    <format dxfId="7">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1" iMeasureHier="46">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A33AFB-C3AF-4C42-8D25-0785B694BEB4}" name="PivotTable7" cacheId="0" applyNumberFormats="0" applyBorderFormats="0" applyFontFormats="0" applyPatternFormats="0" applyAlignmentFormats="0" applyWidthHeightFormats="1" dataCaption="Values" tag="cd9517ba-01af-49b4-be27-417b591620b0" updatedVersion="8" minRefreshableVersion="3" useAutoFormatting="1" subtotalHiddenItems="1" itemPrintTitles="1" createdVersion="8" indent="0" outline="1" outlineData="1" multipleFieldFilters="0" chartFormat="7">
  <location ref="F25:G31" firstHeaderRow="1" firstDataRow="1" firstDataCol="1"/>
  <pivotFields count="5">
    <pivotField allDrilled="1" subtotalTop="0" showAll="0" dataSourceSort="1" defaultSubtotal="0" defaultAttributeDrillState="1">
      <items count="6">
        <item s="1" x="0"/>
        <item s="1" x="1"/>
        <item s="1" x="2"/>
        <item s="1" x="3"/>
        <item s="1" x="4"/>
        <item s="1" x="5"/>
      </items>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Sum of Revenue" fld="1" baseField="0" baseItem="0" numFmtId="165"/>
  </dataFields>
  <formats count="1">
    <format dxfId="8">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1" iMeasureHier="46">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75F8DA07-28F5-4DCA-96C9-6709C21AF997}" autoFormatId="16" applyNumberFormats="0" applyBorderFormats="0" applyFontFormats="0" applyPatternFormats="0" applyAlignmentFormats="0" applyWidthHeightFormats="0">
  <queryTableRefresh nextId="8">
    <queryTableFields count="6">
      <queryTableField id="1" name="Product_ID" tableColumnId="1"/>
      <queryTableField id="2" name="Product_Name" tableColumnId="2"/>
      <queryTableField id="3" name="Category" tableColumnId="3"/>
      <queryTableField id="4" name="Price (PKR)" tableColumnId="4"/>
      <queryTableField id="5" name="Description" tableColumnId="5"/>
      <queryTableField id="6" name="Ocassion" tableColumnId="6"/>
    </queryTableFields>
    <queryTableDeletedFields count="1">
      <deletedField name="Column1"/>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E3A1BF79-1E11-45FF-8137-4A87705A88D6}" autoFormatId="16" applyNumberFormats="0" applyBorderFormats="0" applyFontFormats="0" applyPatternFormats="0" applyAlignmentFormats="0" applyWidthHeightFormats="0">
  <queryTableRefresh nextId="15">
    <queryTableFields count="14">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ary_date" tableColumnId="7"/>
      <queryTableField id="8" name="Delivery_Time" tableColumnId="8"/>
      <queryTableField id="9" name="Occasion" tableColumnId="9"/>
      <queryTableField id="10" name="Month Name" tableColumnId="10"/>
      <queryTableField id="11" name="Hour(Order_Time)" tableColumnId="11"/>
      <queryTableField id="12" name="Hour(Delivary_Time)" tableColumnId="12"/>
      <queryTableField id="13" name="Diff_order_delivary" tableColumnId="13"/>
      <queryTableField id="14" name="Price (PKR)"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A0992520-2BB1-444F-824C-3A54B8FB5873}"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Phone" tableColumnId="4"/>
      <queryTableField id="5" name="Email" tableColumnId="5"/>
      <queryTableField id="6" name="Gender" tableColumnId="6"/>
      <queryTableField id="7" name="Addres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1BCBC978-14C6-4AC5-9943-FE544B3017A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ABE5003-A06E-4E23-B86D-8A8E39403146}" sourceName="[Order].[Occasion]">
  <pivotTables>
    <pivotTable tabId="1" name="PivotTable7"/>
    <pivotTable tabId="1" name="PivotTable10"/>
    <pivotTable tabId="1" name="PivotTable11"/>
    <pivotTable tabId="1" name="PivotTable12"/>
    <pivotTable tabId="1" name="PivotTable3"/>
    <pivotTable tabId="1" name="PivotTable6"/>
    <pivotTable tabId="1" name="PivotTable8"/>
    <pivotTable tabId="1" name="PivotTable13"/>
  </pivotTables>
  <data>
    <olap pivotCacheId="327795581">
      <levels count="2">
        <level uniqueName="[Order].[Occasion].[(All)]" sourceCaption="(All)" count="0"/>
        <level uniqueName="[Order].[Occasion].[Occasion]" sourceCaption="Occasion" count="5">
          <ranges>
            <range startItem="0">
              <i n="[Order].[Occasion].&amp;[All Occasions]" c="All Occasions"/>
              <i n="[Order].[Occasion].&amp;[Anniversary]" c="Anniversary"/>
              <i n="[Order].[Occasion].&amp;[Birthday]" c="Birthday"/>
              <i n="[Order].[Occasion].&amp;[Eid]" c="Eid"/>
              <i n="[Order].[Occasion].&amp;[Valentine's Day]" c="Valentine's Day"/>
            </range>
          </ranges>
        </level>
      </levels>
      <selections count="1">
        <selection n="[Order].[Occasion].&amp;[Birth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3E411CD-EDEB-440C-9E51-637DB40B6518}" cache="Slicer_Occasion" caption="Occas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901471D6-E7E1-44C3-80AA-C63FBDBA2F8B}" cache="Slicer_Occasion" caption="Occasion" level="1" style="SlicerStyleOther2" rowHeight="5486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6B4258C-D26E-4B35-958A-F3CFAB66F5E8}" name="products" displayName="products" ref="A1:F71" tableType="queryTable" totalsRowShown="0">
  <autoFilter ref="A1:F71" xr:uid="{96B4258C-D26E-4B35-958A-F3CFAB66F5E8}"/>
  <tableColumns count="6">
    <tableColumn id="1" xr3:uid="{4C5FFD49-619D-4AFF-9105-407B7A519A84}" uniqueName="1" name="Product_ID" queryTableFieldId="1"/>
    <tableColumn id="2" xr3:uid="{28A85C52-F194-42B7-9292-76482B34AE8F}" uniqueName="2" name="Product_Name" queryTableFieldId="2" dataDxfId="31"/>
    <tableColumn id="3" xr3:uid="{1B994AB6-B034-4F82-BA1C-E8AED8BD7164}" uniqueName="3" name="Category" queryTableFieldId="3" dataDxfId="30"/>
    <tableColumn id="4" xr3:uid="{B352E286-3D4A-4CCA-8C76-7F80FC4BB8EF}" uniqueName="4" name="Price (PKR)" queryTableFieldId="4"/>
    <tableColumn id="5" xr3:uid="{408C29A6-C54C-4874-8A0B-56FF446E2050}" uniqueName="5" name="Description" queryTableFieldId="5" dataDxfId="29"/>
    <tableColumn id="6" xr3:uid="{7C2E77D3-FF80-44BA-A6BD-134762DF7463}" uniqueName="6" name="Ocassion" queryTableFieldId="6" dataDxf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8E9A24B-1579-4D3A-8DBB-41D3E09F2DAF}" name="Order" displayName="Order" ref="A1:N500" tableType="queryTable" totalsRowShown="0">
  <autoFilter ref="A1:N500" xr:uid="{B8E9A24B-1579-4D3A-8DBB-41D3E09F2DAF}"/>
  <tableColumns count="14">
    <tableColumn id="1" xr3:uid="{6045DA82-1B74-4247-8147-8FC2A0C9C763}" uniqueName="1" name="Order_ID" queryTableFieldId="1"/>
    <tableColumn id="2" xr3:uid="{F6BCC70A-97AA-41AF-A0DC-797037B04243}" uniqueName="2" name="Customer_ID" queryTableFieldId="2" dataDxfId="27"/>
    <tableColumn id="3" xr3:uid="{27A863EC-B820-436A-8874-D5D8A83CDD6F}" uniqueName="3" name="Product_ID" queryTableFieldId="3"/>
    <tableColumn id="4" xr3:uid="{2C9B0B53-6593-4A0A-9C60-912A8D735E2F}" uniqueName="4" name="Quantity" queryTableFieldId="4"/>
    <tableColumn id="5" xr3:uid="{C9F3AD11-6D7C-4CA1-96F7-53F31E08B687}" uniqueName="5" name="Order_date" queryTableFieldId="5" dataDxfId="26"/>
    <tableColumn id="6" xr3:uid="{7C61884C-FD9B-4CF8-8934-8016B38BD29C}" uniqueName="6" name="Order_Time" queryTableFieldId="6" dataDxfId="25"/>
    <tableColumn id="7" xr3:uid="{E72A4A34-6B4A-4D5A-94DA-FDA93518727E}" uniqueName="7" name="Delivary_date" queryTableFieldId="7" dataDxfId="24"/>
    <tableColumn id="8" xr3:uid="{61DE50C2-83B3-4A68-8282-2F9126225D1B}" uniqueName="8" name="Delivery_Time" queryTableFieldId="8" dataDxfId="23"/>
    <tableColumn id="9" xr3:uid="{E5009B52-EEFE-4306-BDAB-F26D826B86E1}" uniqueName="9" name="Occasion" queryTableFieldId="9" dataDxfId="22"/>
    <tableColumn id="10" xr3:uid="{38CED62A-CDA5-456D-AE7B-DC0861E3401B}" uniqueName="10" name="Month Name" queryTableFieldId="10" dataDxfId="21"/>
    <tableColumn id="11" xr3:uid="{BC93610E-EA3D-4A50-8467-7BFBAE860CBB}" uniqueName="11" name="Hour(Order_Time)" queryTableFieldId="11"/>
    <tableColumn id="12" xr3:uid="{44A94E43-191E-4612-B8C5-30C4A5A8C842}" uniqueName="12" name="Hour(Delivary_Time)" queryTableFieldId="12"/>
    <tableColumn id="13" xr3:uid="{A1941DAA-13E3-45A1-850D-B4AFF4D4EF6E}" uniqueName="13" name="Diff_order_delivary" queryTableFieldId="13"/>
    <tableColumn id="14" xr3:uid="{3A35B5C4-2245-4659-9C9F-23020977D03F}" uniqueName="14" name="Price (PKR)"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0EF6F0-7645-48C7-88D0-AD722D219652}" name="Customers" displayName="Customers" ref="A1:G101" tableType="queryTable" totalsRowShown="0">
  <autoFilter ref="A1:G101" xr:uid="{130EF6F0-7645-48C7-88D0-AD722D219652}"/>
  <tableColumns count="7">
    <tableColumn id="1" xr3:uid="{E1A53CE3-9720-495E-A768-6A7A724AF9AC}" uniqueName="1" name="Customer_ID" queryTableFieldId="1" dataDxfId="20"/>
    <tableColumn id="2" xr3:uid="{507F2081-6D8E-49FB-B0AA-50F53D8936E1}" uniqueName="2" name="Name" queryTableFieldId="2" dataDxfId="19"/>
    <tableColumn id="3" xr3:uid="{4B8E39FA-6C48-4E0B-BCD9-0A495A11DF34}" uniqueName="3" name="City" queryTableFieldId="3" dataDxfId="18"/>
    <tableColumn id="4" xr3:uid="{73BF086D-C8B9-4F14-983E-51320DCB5947}" uniqueName="4" name="Phone" queryTableFieldId="4"/>
    <tableColumn id="5" xr3:uid="{B63BEBEB-B6DA-4293-AD13-76DE5F7D81FA}" uniqueName="5" name="Email" queryTableFieldId="5" dataDxfId="17"/>
    <tableColumn id="6" xr3:uid="{953716DF-595E-4D36-8AB8-62098864F678}" uniqueName="6" name="Gender" queryTableFieldId="6" dataDxfId="16"/>
    <tableColumn id="7" xr3:uid="{C33F6D8D-1C83-48D7-99CF-1461CDAFC79D}" uniqueName="7" name="Address" queryTableFieldId="7" dataDxf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5C8A73-9806-44DE-8AC8-26E25B782AE4}" name="ExcelProjectData" displayName="ExcelProjectData" ref="A1:F4" tableType="queryTable" totalsRowShown="0">
  <autoFilter ref="A1:F4" xr:uid="{8F5C8A73-9806-44DE-8AC8-26E25B782AE4}"/>
  <tableColumns count="6">
    <tableColumn id="1" xr3:uid="{4F869F4B-EB61-4790-ABD3-3659C9C17D3E}" uniqueName="1" name="Name" queryTableFieldId="1" dataDxfId="14"/>
    <tableColumn id="2" xr3:uid="{EB98E544-84FA-4B73-8D24-AD522E43DEEC}" uniqueName="2" name="Extension" queryTableFieldId="2" dataDxfId="13"/>
    <tableColumn id="3" xr3:uid="{B65C720A-55C5-45B2-BDFF-A6386C10ACFA}" uniqueName="3" name="Date accessed" queryTableFieldId="3" dataDxfId="12"/>
    <tableColumn id="4" xr3:uid="{F6532E49-2EF5-4582-AF3F-02A4E4F3A549}" uniqueName="4" name="Date modified" queryTableFieldId="4" dataDxfId="11"/>
    <tableColumn id="5" xr3:uid="{FE1DA5C8-BCA0-4D26-AE66-24B8F9B1646C}" uniqueName="5" name="Date created" queryTableFieldId="5" dataDxfId="10"/>
    <tableColumn id="6" xr3:uid="{07600356-F342-4B57-9A5B-5D4832B810AE}" uniqueName="6" name="Folder Path" queryTableFieldId="6" dataDxf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8F1E64A-4FD0-429B-B2D2-290D013B5872}" sourceName="[Order].[Order_date]">
  <pivotTables>
    <pivotTable tabId="1" name="PivotTable8"/>
  </pivotTables>
  <state minimalRefreshVersion="6" lastRefreshVersion="6" pivotCacheId="243436344" filterType="unknown">
    <bounds startDate="2021-01-01T00:00:00" endDate="2023-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ary_date" xr10:uid="{D71E3B7C-B9B7-45BA-B898-09894DCB4E74}" sourceName="[Order].[Delivary_date]">
  <pivotTables>
    <pivotTable tabId="1" name="PivotTable8"/>
    <pivotTable tabId="1" name="PivotTable10"/>
    <pivotTable tabId="1" name="PivotTable11"/>
    <pivotTable tabId="1" name="PivotTable12"/>
    <pivotTable tabId="1" name="PivotTable3"/>
    <pivotTable tabId="1" name="PivotTable6"/>
  </pivotTables>
  <state minimalRefreshVersion="6" lastRefreshVersion="6" pivotCacheId="243436344" filterType="dateBetween">
    <selection startDate="2022-01-01T00:00:00" endDate="2022-01-31T00:00:00"/>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0D657D8-72BA-4916-B362-DB4669C07FA9}" cache="Timeline_Order_date" caption="Order_date" level="2" selectionLevel="2" scrollPosition="2022-05-18T00:00:00"/>
  <timeline name="Delivary_date" xr10:uid="{3CFF595D-E70C-41EB-9569-D0C5692AD6E8}" cache="Timeline_Delivary_date" caption="Delivary_date" level="2" selectionLevel="2" scrollPosition="2022-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ABCE4-83F8-4587-8832-33A259DC2D9A}">
  <dimension ref="A1:F71"/>
  <sheetViews>
    <sheetView topLeftCell="A56" workbookViewId="0">
      <selection activeCell="H9" sqref="H9"/>
    </sheetView>
  </sheetViews>
  <sheetFormatPr defaultRowHeight="14.4" x14ac:dyDescent="0.3"/>
  <cols>
    <col min="1" max="1" width="12.33203125" bestFit="1" customWidth="1"/>
    <col min="2" max="2" width="17.5546875" bestFit="1" customWidth="1"/>
    <col min="3" max="3" width="14.44140625" bestFit="1" customWidth="1"/>
    <col min="4" max="4" width="12.5546875" bestFit="1" customWidth="1"/>
    <col min="5" max="5" width="60.6640625" bestFit="1" customWidth="1"/>
    <col min="6" max="6" width="10.88671875" bestFit="1" customWidth="1"/>
  </cols>
  <sheetData>
    <row r="1" spans="1:6" x14ac:dyDescent="0.3">
      <c r="A1" t="s">
        <v>420</v>
      </c>
      <c r="B1" t="s">
        <v>421</v>
      </c>
      <c r="C1" t="s">
        <v>422</v>
      </c>
      <c r="D1" t="s">
        <v>423</v>
      </c>
      <c r="E1" t="s">
        <v>424</v>
      </c>
      <c r="F1" t="s">
        <v>425</v>
      </c>
    </row>
    <row r="2" spans="1:6" x14ac:dyDescent="0.3">
      <c r="A2">
        <v>1</v>
      </c>
      <c r="B2" t="s">
        <v>426</v>
      </c>
      <c r="C2" t="s">
        <v>427</v>
      </c>
      <c r="D2">
        <v>1935</v>
      </c>
      <c r="E2" t="s">
        <v>428</v>
      </c>
      <c r="F2" t="s">
        <v>429</v>
      </c>
    </row>
    <row r="3" spans="1:6" x14ac:dyDescent="0.3">
      <c r="A3">
        <v>2</v>
      </c>
      <c r="B3" t="s">
        <v>430</v>
      </c>
      <c r="C3" t="s">
        <v>431</v>
      </c>
      <c r="D3">
        <v>441</v>
      </c>
      <c r="E3" t="s">
        <v>432</v>
      </c>
      <c r="F3" t="s">
        <v>433</v>
      </c>
    </row>
    <row r="4" spans="1:6" x14ac:dyDescent="0.3">
      <c r="A4">
        <v>3</v>
      </c>
      <c r="B4" t="s">
        <v>434</v>
      </c>
      <c r="C4" t="s">
        <v>435</v>
      </c>
      <c r="D4">
        <v>1534</v>
      </c>
      <c r="E4" t="s">
        <v>436</v>
      </c>
      <c r="F4" t="s">
        <v>437</v>
      </c>
    </row>
    <row r="5" spans="1:6" x14ac:dyDescent="0.3">
      <c r="A5">
        <v>4</v>
      </c>
      <c r="B5" t="s">
        <v>438</v>
      </c>
      <c r="C5" t="s">
        <v>439</v>
      </c>
      <c r="D5">
        <v>1199</v>
      </c>
      <c r="E5" t="s">
        <v>440</v>
      </c>
      <c r="F5" t="s">
        <v>441</v>
      </c>
    </row>
    <row r="6" spans="1:6" x14ac:dyDescent="0.3">
      <c r="A6">
        <v>5</v>
      </c>
      <c r="B6" t="s">
        <v>442</v>
      </c>
      <c r="C6" t="s">
        <v>435</v>
      </c>
      <c r="D6">
        <v>1444</v>
      </c>
      <c r="E6" t="s">
        <v>443</v>
      </c>
      <c r="F6" t="s">
        <v>429</v>
      </c>
    </row>
    <row r="7" spans="1:6" x14ac:dyDescent="0.3">
      <c r="A7">
        <v>6</v>
      </c>
      <c r="B7" t="s">
        <v>444</v>
      </c>
      <c r="C7" t="s">
        <v>445</v>
      </c>
      <c r="D7">
        <v>1112</v>
      </c>
      <c r="E7" t="s">
        <v>446</v>
      </c>
      <c r="F7" t="s">
        <v>433</v>
      </c>
    </row>
    <row r="8" spans="1:6" x14ac:dyDescent="0.3">
      <c r="A8">
        <v>7</v>
      </c>
      <c r="B8" t="s">
        <v>447</v>
      </c>
      <c r="C8" t="s">
        <v>427</v>
      </c>
      <c r="D8">
        <v>409</v>
      </c>
      <c r="E8" t="s">
        <v>448</v>
      </c>
      <c r="F8" t="s">
        <v>437</v>
      </c>
    </row>
    <row r="9" spans="1:6" x14ac:dyDescent="0.3">
      <c r="A9">
        <v>8</v>
      </c>
      <c r="B9" t="s">
        <v>449</v>
      </c>
      <c r="C9" t="s">
        <v>439</v>
      </c>
      <c r="D9">
        <v>252</v>
      </c>
      <c r="E9" t="s">
        <v>450</v>
      </c>
      <c r="F9" t="s">
        <v>441</v>
      </c>
    </row>
    <row r="10" spans="1:6" x14ac:dyDescent="0.3">
      <c r="A10">
        <v>9</v>
      </c>
      <c r="B10" t="s">
        <v>451</v>
      </c>
      <c r="C10" t="s">
        <v>435</v>
      </c>
      <c r="D10">
        <v>1605</v>
      </c>
      <c r="E10" t="s">
        <v>452</v>
      </c>
      <c r="F10" t="s">
        <v>429</v>
      </c>
    </row>
    <row r="11" spans="1:6" x14ac:dyDescent="0.3">
      <c r="A11">
        <v>10</v>
      </c>
      <c r="B11" t="s">
        <v>453</v>
      </c>
      <c r="C11" t="s">
        <v>445</v>
      </c>
      <c r="D11">
        <v>259</v>
      </c>
      <c r="E11" t="s">
        <v>454</v>
      </c>
      <c r="F11" t="s">
        <v>433</v>
      </c>
    </row>
    <row r="12" spans="1:6" x14ac:dyDescent="0.3">
      <c r="A12">
        <v>11</v>
      </c>
      <c r="B12" t="s">
        <v>455</v>
      </c>
      <c r="C12" t="s">
        <v>456</v>
      </c>
      <c r="D12">
        <v>1096</v>
      </c>
      <c r="E12" t="s">
        <v>457</v>
      </c>
      <c r="F12" t="s">
        <v>437</v>
      </c>
    </row>
    <row r="13" spans="1:6" x14ac:dyDescent="0.3">
      <c r="A13">
        <v>12</v>
      </c>
      <c r="B13" t="s">
        <v>458</v>
      </c>
      <c r="C13" t="s">
        <v>431</v>
      </c>
      <c r="D13">
        <v>672</v>
      </c>
      <c r="E13" t="s">
        <v>459</v>
      </c>
      <c r="F13" t="s">
        <v>441</v>
      </c>
    </row>
    <row r="14" spans="1:6" x14ac:dyDescent="0.3">
      <c r="A14">
        <v>13</v>
      </c>
      <c r="B14" t="s">
        <v>460</v>
      </c>
      <c r="C14" t="s">
        <v>456</v>
      </c>
      <c r="D14">
        <v>1141</v>
      </c>
      <c r="E14" t="s">
        <v>461</v>
      </c>
      <c r="F14" t="s">
        <v>429</v>
      </c>
    </row>
    <row r="15" spans="1:6" x14ac:dyDescent="0.3">
      <c r="A15">
        <v>14</v>
      </c>
      <c r="B15" t="s">
        <v>462</v>
      </c>
      <c r="C15" t="s">
        <v>435</v>
      </c>
      <c r="D15">
        <v>1915</v>
      </c>
      <c r="E15" t="s">
        <v>463</v>
      </c>
      <c r="F15" t="s">
        <v>433</v>
      </c>
    </row>
    <row r="16" spans="1:6" x14ac:dyDescent="0.3">
      <c r="A16">
        <v>15</v>
      </c>
      <c r="B16" t="s">
        <v>464</v>
      </c>
      <c r="C16" t="s">
        <v>465</v>
      </c>
      <c r="D16">
        <v>1488</v>
      </c>
      <c r="E16" t="s">
        <v>466</v>
      </c>
      <c r="F16" t="s">
        <v>437</v>
      </c>
    </row>
    <row r="17" spans="1:6" x14ac:dyDescent="0.3">
      <c r="A17">
        <v>16</v>
      </c>
      <c r="B17" t="s">
        <v>467</v>
      </c>
      <c r="C17" t="s">
        <v>439</v>
      </c>
      <c r="D17">
        <v>1721</v>
      </c>
      <c r="E17" t="s">
        <v>468</v>
      </c>
      <c r="F17" t="s">
        <v>441</v>
      </c>
    </row>
    <row r="18" spans="1:6" x14ac:dyDescent="0.3">
      <c r="A18">
        <v>17</v>
      </c>
      <c r="B18" t="s">
        <v>469</v>
      </c>
      <c r="C18" t="s">
        <v>427</v>
      </c>
      <c r="D18">
        <v>1899</v>
      </c>
      <c r="E18" t="s">
        <v>470</v>
      </c>
      <c r="F18" t="s">
        <v>429</v>
      </c>
    </row>
    <row r="19" spans="1:6" x14ac:dyDescent="0.3">
      <c r="A19">
        <v>18</v>
      </c>
      <c r="B19" t="s">
        <v>471</v>
      </c>
      <c r="C19" t="s">
        <v>431</v>
      </c>
      <c r="D19">
        <v>781</v>
      </c>
      <c r="E19" t="s">
        <v>472</v>
      </c>
      <c r="F19" t="s">
        <v>433</v>
      </c>
    </row>
    <row r="20" spans="1:6" x14ac:dyDescent="0.3">
      <c r="A20">
        <v>19</v>
      </c>
      <c r="B20" t="s">
        <v>473</v>
      </c>
      <c r="C20" t="s">
        <v>456</v>
      </c>
      <c r="D20">
        <v>1234</v>
      </c>
      <c r="E20" t="s">
        <v>474</v>
      </c>
      <c r="F20" t="s">
        <v>437</v>
      </c>
    </row>
    <row r="21" spans="1:6" x14ac:dyDescent="0.3">
      <c r="A21">
        <v>20</v>
      </c>
      <c r="B21" t="s">
        <v>475</v>
      </c>
      <c r="C21" t="s">
        <v>435</v>
      </c>
      <c r="D21">
        <v>697</v>
      </c>
      <c r="E21" t="s">
        <v>476</v>
      </c>
      <c r="F21" t="s">
        <v>441</v>
      </c>
    </row>
    <row r="22" spans="1:6" x14ac:dyDescent="0.3">
      <c r="A22">
        <v>21</v>
      </c>
      <c r="B22" t="s">
        <v>477</v>
      </c>
      <c r="C22" t="s">
        <v>435</v>
      </c>
      <c r="D22">
        <v>1561</v>
      </c>
      <c r="E22" t="s">
        <v>478</v>
      </c>
      <c r="F22" t="s">
        <v>429</v>
      </c>
    </row>
    <row r="23" spans="1:6" x14ac:dyDescent="0.3">
      <c r="A23">
        <v>22</v>
      </c>
      <c r="B23" t="s">
        <v>479</v>
      </c>
      <c r="C23" t="s">
        <v>427</v>
      </c>
      <c r="D23">
        <v>1639</v>
      </c>
      <c r="E23" t="s">
        <v>480</v>
      </c>
      <c r="F23" t="s">
        <v>433</v>
      </c>
    </row>
    <row r="24" spans="1:6" x14ac:dyDescent="0.3">
      <c r="A24">
        <v>23</v>
      </c>
      <c r="B24" t="s">
        <v>481</v>
      </c>
      <c r="C24" t="s">
        <v>439</v>
      </c>
      <c r="D24">
        <v>1098</v>
      </c>
      <c r="E24" t="s">
        <v>482</v>
      </c>
      <c r="F24" t="s">
        <v>437</v>
      </c>
    </row>
    <row r="25" spans="1:6" x14ac:dyDescent="0.3">
      <c r="A25">
        <v>24</v>
      </c>
      <c r="B25" t="s">
        <v>483</v>
      </c>
      <c r="C25" t="s">
        <v>456</v>
      </c>
      <c r="D25">
        <v>535</v>
      </c>
      <c r="E25" t="s">
        <v>484</v>
      </c>
      <c r="F25" t="s">
        <v>441</v>
      </c>
    </row>
    <row r="26" spans="1:6" x14ac:dyDescent="0.3">
      <c r="A26">
        <v>25</v>
      </c>
      <c r="B26" t="s">
        <v>485</v>
      </c>
      <c r="C26" t="s">
        <v>431</v>
      </c>
      <c r="D26">
        <v>1202</v>
      </c>
      <c r="E26" t="s">
        <v>486</v>
      </c>
      <c r="F26" t="s">
        <v>429</v>
      </c>
    </row>
    <row r="27" spans="1:6" x14ac:dyDescent="0.3">
      <c r="A27">
        <v>26</v>
      </c>
      <c r="B27" t="s">
        <v>487</v>
      </c>
      <c r="C27" t="s">
        <v>435</v>
      </c>
      <c r="D27">
        <v>289</v>
      </c>
      <c r="E27" t="s">
        <v>488</v>
      </c>
      <c r="F27" t="s">
        <v>433</v>
      </c>
    </row>
    <row r="28" spans="1:6" x14ac:dyDescent="0.3">
      <c r="A28">
        <v>27</v>
      </c>
      <c r="B28" t="s">
        <v>489</v>
      </c>
      <c r="C28" t="s">
        <v>445</v>
      </c>
      <c r="D28">
        <v>548</v>
      </c>
      <c r="E28" t="s">
        <v>490</v>
      </c>
      <c r="F28" t="s">
        <v>437</v>
      </c>
    </row>
    <row r="29" spans="1:6" x14ac:dyDescent="0.3">
      <c r="A29">
        <v>28</v>
      </c>
      <c r="B29" t="s">
        <v>491</v>
      </c>
      <c r="C29" t="s">
        <v>439</v>
      </c>
      <c r="D29">
        <v>1778</v>
      </c>
      <c r="E29" t="s">
        <v>492</v>
      </c>
      <c r="F29" t="s">
        <v>441</v>
      </c>
    </row>
    <row r="30" spans="1:6" x14ac:dyDescent="0.3">
      <c r="A30">
        <v>29</v>
      </c>
      <c r="B30" t="s">
        <v>493</v>
      </c>
      <c r="C30" t="s">
        <v>435</v>
      </c>
      <c r="D30">
        <v>1252</v>
      </c>
      <c r="E30" t="s">
        <v>494</v>
      </c>
      <c r="F30" t="s">
        <v>429</v>
      </c>
    </row>
    <row r="31" spans="1:6" x14ac:dyDescent="0.3">
      <c r="A31">
        <v>30</v>
      </c>
      <c r="B31" t="s">
        <v>495</v>
      </c>
      <c r="C31" t="s">
        <v>435</v>
      </c>
      <c r="D31">
        <v>751</v>
      </c>
      <c r="E31" t="s">
        <v>496</v>
      </c>
      <c r="F31" t="s">
        <v>433</v>
      </c>
    </row>
    <row r="32" spans="1:6" x14ac:dyDescent="0.3">
      <c r="A32">
        <v>31</v>
      </c>
      <c r="B32" t="s">
        <v>497</v>
      </c>
      <c r="C32" t="s">
        <v>435</v>
      </c>
      <c r="D32">
        <v>1804</v>
      </c>
      <c r="E32" t="s">
        <v>498</v>
      </c>
      <c r="F32" t="s">
        <v>437</v>
      </c>
    </row>
    <row r="33" spans="1:6" x14ac:dyDescent="0.3">
      <c r="A33">
        <v>32</v>
      </c>
      <c r="B33" t="s">
        <v>499</v>
      </c>
      <c r="C33" t="s">
        <v>427</v>
      </c>
      <c r="D33">
        <v>1792</v>
      </c>
      <c r="E33" t="s">
        <v>500</v>
      </c>
      <c r="F33" t="s">
        <v>441</v>
      </c>
    </row>
    <row r="34" spans="1:6" x14ac:dyDescent="0.3">
      <c r="A34">
        <v>33</v>
      </c>
      <c r="B34" t="s">
        <v>501</v>
      </c>
      <c r="C34" t="s">
        <v>435</v>
      </c>
      <c r="D34">
        <v>314</v>
      </c>
      <c r="E34" t="s">
        <v>502</v>
      </c>
      <c r="F34" t="s">
        <v>429</v>
      </c>
    </row>
    <row r="35" spans="1:6" x14ac:dyDescent="0.3">
      <c r="A35">
        <v>34</v>
      </c>
      <c r="B35" t="s">
        <v>503</v>
      </c>
      <c r="C35" t="s">
        <v>427</v>
      </c>
      <c r="D35">
        <v>1335</v>
      </c>
      <c r="E35" t="s">
        <v>504</v>
      </c>
      <c r="F35" t="s">
        <v>433</v>
      </c>
    </row>
    <row r="36" spans="1:6" x14ac:dyDescent="0.3">
      <c r="A36">
        <v>35</v>
      </c>
      <c r="B36" t="s">
        <v>505</v>
      </c>
      <c r="C36" t="s">
        <v>435</v>
      </c>
      <c r="D36">
        <v>1865</v>
      </c>
      <c r="E36" t="s">
        <v>506</v>
      </c>
      <c r="F36" t="s">
        <v>437</v>
      </c>
    </row>
    <row r="37" spans="1:6" x14ac:dyDescent="0.3">
      <c r="A37">
        <v>36</v>
      </c>
      <c r="B37" t="s">
        <v>507</v>
      </c>
      <c r="C37" t="s">
        <v>431</v>
      </c>
      <c r="D37">
        <v>203</v>
      </c>
      <c r="E37" t="s">
        <v>508</v>
      </c>
      <c r="F37" t="s">
        <v>441</v>
      </c>
    </row>
    <row r="38" spans="1:6" x14ac:dyDescent="0.3">
      <c r="A38">
        <v>37</v>
      </c>
      <c r="B38" t="s">
        <v>509</v>
      </c>
      <c r="C38" t="s">
        <v>435</v>
      </c>
      <c r="D38">
        <v>1428</v>
      </c>
      <c r="E38" t="s">
        <v>510</v>
      </c>
      <c r="F38" t="s">
        <v>429</v>
      </c>
    </row>
    <row r="39" spans="1:6" x14ac:dyDescent="0.3">
      <c r="A39">
        <v>38</v>
      </c>
      <c r="B39" t="s">
        <v>511</v>
      </c>
      <c r="C39" t="s">
        <v>445</v>
      </c>
      <c r="D39">
        <v>562</v>
      </c>
      <c r="E39" t="s">
        <v>512</v>
      </c>
      <c r="F39" t="s">
        <v>433</v>
      </c>
    </row>
    <row r="40" spans="1:6" x14ac:dyDescent="0.3">
      <c r="A40">
        <v>39</v>
      </c>
      <c r="B40" t="s">
        <v>513</v>
      </c>
      <c r="C40" t="s">
        <v>456</v>
      </c>
      <c r="D40">
        <v>387</v>
      </c>
      <c r="E40" t="s">
        <v>514</v>
      </c>
      <c r="F40" t="s">
        <v>437</v>
      </c>
    </row>
    <row r="41" spans="1:6" x14ac:dyDescent="0.3">
      <c r="A41">
        <v>40</v>
      </c>
      <c r="B41" t="s">
        <v>515</v>
      </c>
      <c r="C41" t="s">
        <v>439</v>
      </c>
      <c r="D41">
        <v>1923</v>
      </c>
      <c r="E41" t="s">
        <v>516</v>
      </c>
      <c r="F41" t="s">
        <v>441</v>
      </c>
    </row>
    <row r="42" spans="1:6" x14ac:dyDescent="0.3">
      <c r="A42">
        <v>41</v>
      </c>
      <c r="B42" t="s">
        <v>517</v>
      </c>
      <c r="C42" t="s">
        <v>439</v>
      </c>
      <c r="D42">
        <v>1977</v>
      </c>
      <c r="E42" t="s">
        <v>518</v>
      </c>
      <c r="F42" t="s">
        <v>429</v>
      </c>
    </row>
    <row r="43" spans="1:6" x14ac:dyDescent="0.3">
      <c r="A43">
        <v>42</v>
      </c>
      <c r="B43" t="s">
        <v>519</v>
      </c>
      <c r="C43" t="s">
        <v>439</v>
      </c>
      <c r="D43">
        <v>1744</v>
      </c>
      <c r="E43" t="s">
        <v>520</v>
      </c>
      <c r="F43" t="s">
        <v>433</v>
      </c>
    </row>
    <row r="44" spans="1:6" x14ac:dyDescent="0.3">
      <c r="A44">
        <v>43</v>
      </c>
      <c r="B44" t="s">
        <v>521</v>
      </c>
      <c r="C44" t="s">
        <v>465</v>
      </c>
      <c r="D44">
        <v>750</v>
      </c>
      <c r="E44" t="s">
        <v>522</v>
      </c>
      <c r="F44" t="s">
        <v>437</v>
      </c>
    </row>
    <row r="45" spans="1:6" x14ac:dyDescent="0.3">
      <c r="A45">
        <v>44</v>
      </c>
      <c r="B45" t="s">
        <v>523</v>
      </c>
      <c r="C45" t="s">
        <v>431</v>
      </c>
      <c r="D45">
        <v>794</v>
      </c>
      <c r="E45" t="s">
        <v>524</v>
      </c>
      <c r="F45" t="s">
        <v>441</v>
      </c>
    </row>
    <row r="46" spans="1:6" x14ac:dyDescent="0.3">
      <c r="A46">
        <v>45</v>
      </c>
      <c r="B46" t="s">
        <v>525</v>
      </c>
      <c r="C46" t="s">
        <v>465</v>
      </c>
      <c r="D46">
        <v>722</v>
      </c>
      <c r="E46" t="s">
        <v>526</v>
      </c>
      <c r="F46" t="s">
        <v>429</v>
      </c>
    </row>
    <row r="47" spans="1:6" x14ac:dyDescent="0.3">
      <c r="A47">
        <v>46</v>
      </c>
      <c r="B47" t="s">
        <v>527</v>
      </c>
      <c r="C47" t="s">
        <v>445</v>
      </c>
      <c r="D47">
        <v>758</v>
      </c>
      <c r="E47" t="s">
        <v>528</v>
      </c>
      <c r="F47" t="s">
        <v>433</v>
      </c>
    </row>
    <row r="48" spans="1:6" x14ac:dyDescent="0.3">
      <c r="A48">
        <v>47</v>
      </c>
      <c r="B48" t="s">
        <v>529</v>
      </c>
      <c r="C48" t="s">
        <v>435</v>
      </c>
      <c r="D48">
        <v>1638</v>
      </c>
      <c r="E48" t="s">
        <v>530</v>
      </c>
      <c r="F48" t="s">
        <v>437</v>
      </c>
    </row>
    <row r="49" spans="1:6" x14ac:dyDescent="0.3">
      <c r="A49">
        <v>48</v>
      </c>
      <c r="B49" t="s">
        <v>531</v>
      </c>
      <c r="C49" t="s">
        <v>435</v>
      </c>
      <c r="D49">
        <v>433</v>
      </c>
      <c r="E49" t="s">
        <v>532</v>
      </c>
      <c r="F49" t="s">
        <v>441</v>
      </c>
    </row>
    <row r="50" spans="1:6" x14ac:dyDescent="0.3">
      <c r="A50">
        <v>49</v>
      </c>
      <c r="B50" t="s">
        <v>533</v>
      </c>
      <c r="C50" t="s">
        <v>435</v>
      </c>
      <c r="D50">
        <v>903</v>
      </c>
      <c r="E50" t="s">
        <v>534</v>
      </c>
      <c r="F50" t="s">
        <v>429</v>
      </c>
    </row>
    <row r="51" spans="1:6" x14ac:dyDescent="0.3">
      <c r="A51">
        <v>50</v>
      </c>
      <c r="B51" t="s">
        <v>535</v>
      </c>
      <c r="C51" t="s">
        <v>431</v>
      </c>
      <c r="D51">
        <v>422</v>
      </c>
      <c r="E51" t="s">
        <v>536</v>
      </c>
      <c r="F51" t="s">
        <v>433</v>
      </c>
    </row>
    <row r="52" spans="1:6" x14ac:dyDescent="0.3">
      <c r="A52">
        <v>51</v>
      </c>
      <c r="B52" t="s">
        <v>537</v>
      </c>
      <c r="C52" t="s">
        <v>427</v>
      </c>
      <c r="D52">
        <v>1084</v>
      </c>
      <c r="E52" t="s">
        <v>538</v>
      </c>
      <c r="F52" t="s">
        <v>437</v>
      </c>
    </row>
    <row r="53" spans="1:6" x14ac:dyDescent="0.3">
      <c r="A53">
        <v>52</v>
      </c>
      <c r="B53" t="s">
        <v>539</v>
      </c>
      <c r="C53" t="s">
        <v>465</v>
      </c>
      <c r="D53">
        <v>236</v>
      </c>
      <c r="E53" t="s">
        <v>540</v>
      </c>
      <c r="F53" t="s">
        <v>441</v>
      </c>
    </row>
    <row r="54" spans="1:6" x14ac:dyDescent="0.3">
      <c r="A54">
        <v>53</v>
      </c>
      <c r="B54" t="s">
        <v>541</v>
      </c>
      <c r="C54" t="s">
        <v>439</v>
      </c>
      <c r="D54">
        <v>1672</v>
      </c>
      <c r="E54" t="s">
        <v>542</v>
      </c>
      <c r="F54" t="s">
        <v>429</v>
      </c>
    </row>
    <row r="55" spans="1:6" x14ac:dyDescent="0.3">
      <c r="A55">
        <v>54</v>
      </c>
      <c r="B55" t="s">
        <v>543</v>
      </c>
      <c r="C55" t="s">
        <v>445</v>
      </c>
      <c r="D55">
        <v>1236</v>
      </c>
      <c r="E55" t="s">
        <v>544</v>
      </c>
      <c r="F55" t="s">
        <v>433</v>
      </c>
    </row>
    <row r="56" spans="1:6" x14ac:dyDescent="0.3">
      <c r="A56">
        <v>55</v>
      </c>
      <c r="B56" t="s">
        <v>545</v>
      </c>
      <c r="C56" t="s">
        <v>427</v>
      </c>
      <c r="D56">
        <v>1904</v>
      </c>
      <c r="E56" t="s">
        <v>546</v>
      </c>
      <c r="F56" t="s">
        <v>437</v>
      </c>
    </row>
    <row r="57" spans="1:6" x14ac:dyDescent="0.3">
      <c r="A57">
        <v>56</v>
      </c>
      <c r="B57" t="s">
        <v>477</v>
      </c>
      <c r="C57" t="s">
        <v>465</v>
      </c>
      <c r="D57">
        <v>1272</v>
      </c>
      <c r="E57" t="s">
        <v>547</v>
      </c>
      <c r="F57" t="s">
        <v>441</v>
      </c>
    </row>
    <row r="58" spans="1:6" x14ac:dyDescent="0.3">
      <c r="A58">
        <v>57</v>
      </c>
      <c r="B58" t="s">
        <v>548</v>
      </c>
      <c r="C58" t="s">
        <v>435</v>
      </c>
      <c r="D58">
        <v>1582</v>
      </c>
      <c r="E58" t="s">
        <v>549</v>
      </c>
      <c r="F58" t="s">
        <v>429</v>
      </c>
    </row>
    <row r="59" spans="1:6" x14ac:dyDescent="0.3">
      <c r="A59">
        <v>58</v>
      </c>
      <c r="B59" t="s">
        <v>550</v>
      </c>
      <c r="C59" t="s">
        <v>445</v>
      </c>
      <c r="D59">
        <v>1492</v>
      </c>
      <c r="E59" t="s">
        <v>551</v>
      </c>
      <c r="F59" t="s">
        <v>433</v>
      </c>
    </row>
    <row r="60" spans="1:6" x14ac:dyDescent="0.3">
      <c r="A60">
        <v>59</v>
      </c>
      <c r="B60" t="s">
        <v>552</v>
      </c>
      <c r="C60" t="s">
        <v>445</v>
      </c>
      <c r="D60">
        <v>811</v>
      </c>
      <c r="E60" t="s">
        <v>553</v>
      </c>
      <c r="F60" t="s">
        <v>437</v>
      </c>
    </row>
    <row r="61" spans="1:6" x14ac:dyDescent="0.3">
      <c r="A61">
        <v>60</v>
      </c>
      <c r="B61" t="s">
        <v>554</v>
      </c>
      <c r="C61" t="s">
        <v>439</v>
      </c>
      <c r="D61">
        <v>827</v>
      </c>
      <c r="E61" t="s">
        <v>555</v>
      </c>
      <c r="F61" t="s">
        <v>441</v>
      </c>
    </row>
    <row r="62" spans="1:6" x14ac:dyDescent="0.3">
      <c r="A62">
        <v>61</v>
      </c>
      <c r="B62" t="s">
        <v>556</v>
      </c>
      <c r="C62" t="s">
        <v>431</v>
      </c>
      <c r="D62">
        <v>810</v>
      </c>
      <c r="E62" t="s">
        <v>557</v>
      </c>
      <c r="F62" t="s">
        <v>429</v>
      </c>
    </row>
    <row r="63" spans="1:6" x14ac:dyDescent="0.3">
      <c r="A63">
        <v>62</v>
      </c>
      <c r="B63" t="s">
        <v>558</v>
      </c>
      <c r="C63" t="s">
        <v>435</v>
      </c>
      <c r="D63">
        <v>1356</v>
      </c>
      <c r="E63" t="s">
        <v>559</v>
      </c>
      <c r="F63" t="s">
        <v>433</v>
      </c>
    </row>
    <row r="64" spans="1:6" x14ac:dyDescent="0.3">
      <c r="A64">
        <v>63</v>
      </c>
      <c r="B64" t="s">
        <v>560</v>
      </c>
      <c r="C64" t="s">
        <v>439</v>
      </c>
      <c r="D64">
        <v>1348</v>
      </c>
      <c r="E64" t="s">
        <v>561</v>
      </c>
      <c r="F64" t="s">
        <v>437</v>
      </c>
    </row>
    <row r="65" spans="1:6" x14ac:dyDescent="0.3">
      <c r="A65">
        <v>64</v>
      </c>
      <c r="B65" t="s">
        <v>562</v>
      </c>
      <c r="C65" t="s">
        <v>427</v>
      </c>
      <c r="D65">
        <v>1878</v>
      </c>
      <c r="E65" t="s">
        <v>563</v>
      </c>
      <c r="F65" t="s">
        <v>441</v>
      </c>
    </row>
    <row r="66" spans="1:6" x14ac:dyDescent="0.3">
      <c r="A66">
        <v>65</v>
      </c>
      <c r="B66" t="s">
        <v>564</v>
      </c>
      <c r="C66" t="s">
        <v>465</v>
      </c>
      <c r="D66">
        <v>1895</v>
      </c>
      <c r="E66" t="s">
        <v>565</v>
      </c>
      <c r="F66" t="s">
        <v>429</v>
      </c>
    </row>
    <row r="67" spans="1:6" x14ac:dyDescent="0.3">
      <c r="A67">
        <v>66</v>
      </c>
      <c r="B67" t="s">
        <v>566</v>
      </c>
      <c r="C67" t="s">
        <v>435</v>
      </c>
      <c r="D67">
        <v>610</v>
      </c>
      <c r="E67" t="s">
        <v>567</v>
      </c>
      <c r="F67" t="s">
        <v>433</v>
      </c>
    </row>
    <row r="68" spans="1:6" x14ac:dyDescent="0.3">
      <c r="A68">
        <v>67</v>
      </c>
      <c r="B68" t="s">
        <v>568</v>
      </c>
      <c r="C68" t="s">
        <v>465</v>
      </c>
      <c r="D68">
        <v>1374</v>
      </c>
      <c r="E68" t="s">
        <v>569</v>
      </c>
      <c r="F68" t="s">
        <v>437</v>
      </c>
    </row>
    <row r="69" spans="1:6" x14ac:dyDescent="0.3">
      <c r="A69">
        <v>68</v>
      </c>
      <c r="B69" t="s">
        <v>570</v>
      </c>
      <c r="C69" t="s">
        <v>427</v>
      </c>
      <c r="D69">
        <v>597</v>
      </c>
      <c r="E69" t="s">
        <v>571</v>
      </c>
      <c r="F69" t="s">
        <v>441</v>
      </c>
    </row>
    <row r="70" spans="1:6" x14ac:dyDescent="0.3">
      <c r="A70">
        <v>69</v>
      </c>
      <c r="B70" t="s">
        <v>572</v>
      </c>
      <c r="C70" t="s">
        <v>445</v>
      </c>
      <c r="D70">
        <v>998</v>
      </c>
      <c r="E70" t="s">
        <v>573</v>
      </c>
      <c r="F70" t="s">
        <v>429</v>
      </c>
    </row>
    <row r="71" spans="1:6" x14ac:dyDescent="0.3">
      <c r="A71">
        <v>70</v>
      </c>
      <c r="B71" t="s">
        <v>564</v>
      </c>
      <c r="C71" t="s">
        <v>439</v>
      </c>
      <c r="D71">
        <v>866</v>
      </c>
      <c r="E71" t="s">
        <v>574</v>
      </c>
      <c r="F71" t="s">
        <v>433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CE1D1-2678-4B5D-8F3D-91C8D7CFBB3A}">
  <dimension ref="A1:N500"/>
  <sheetViews>
    <sheetView topLeftCell="D155" workbookViewId="0">
      <selection activeCell="I28" sqref="I28"/>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5546875" bestFit="1" customWidth="1"/>
    <col min="6" max="6" width="12.88671875" bestFit="1" customWidth="1"/>
    <col min="7" max="7" width="14.5546875" bestFit="1" customWidth="1"/>
    <col min="8" max="8" width="14.88671875" bestFit="1" customWidth="1"/>
    <col min="9" max="9" width="13.21875" bestFit="1" customWidth="1"/>
    <col min="10" max="10" width="13.6640625" bestFit="1" customWidth="1"/>
    <col min="11" max="11" width="18.33203125" bestFit="1" customWidth="1"/>
    <col min="12" max="12" width="20.44140625" bestFit="1" customWidth="1"/>
    <col min="13" max="13" width="18.88671875" bestFit="1" customWidth="1"/>
    <col min="14" max="14" width="12.5546875" bestFit="1" customWidth="1"/>
  </cols>
  <sheetData>
    <row r="1" spans="1:14" x14ac:dyDescent="0.3">
      <c r="A1" t="s">
        <v>575</v>
      </c>
      <c r="B1" t="s">
        <v>12</v>
      </c>
      <c r="C1" t="s">
        <v>420</v>
      </c>
      <c r="D1" t="s">
        <v>576</v>
      </c>
      <c r="E1" t="s">
        <v>577</v>
      </c>
      <c r="F1" t="s">
        <v>578</v>
      </c>
      <c r="G1" t="s">
        <v>579</v>
      </c>
      <c r="H1" t="s">
        <v>580</v>
      </c>
      <c r="I1" t="s">
        <v>581</v>
      </c>
      <c r="J1" t="s">
        <v>582</v>
      </c>
      <c r="K1" t="s">
        <v>583</v>
      </c>
      <c r="L1" t="s">
        <v>584</v>
      </c>
      <c r="M1" t="s">
        <v>585</v>
      </c>
      <c r="N1" t="s">
        <v>423</v>
      </c>
    </row>
    <row r="2" spans="1:14" x14ac:dyDescent="0.3">
      <c r="A2">
        <v>1</v>
      </c>
      <c r="B2" t="s">
        <v>171</v>
      </c>
      <c r="C2">
        <v>67</v>
      </c>
      <c r="D2">
        <v>5</v>
      </c>
      <c r="E2" s="2">
        <v>44354</v>
      </c>
      <c r="F2" s="3">
        <v>0.99181712962962965</v>
      </c>
      <c r="G2" s="2">
        <v>44359</v>
      </c>
      <c r="H2" s="3">
        <v>0.3105324074074074</v>
      </c>
      <c r="I2" t="s">
        <v>437</v>
      </c>
      <c r="J2" t="s">
        <v>586</v>
      </c>
      <c r="K2">
        <v>23</v>
      </c>
      <c r="L2">
        <v>7</v>
      </c>
      <c r="M2">
        <v>5</v>
      </c>
      <c r="N2">
        <v>1374</v>
      </c>
    </row>
    <row r="3" spans="1:14" x14ac:dyDescent="0.3">
      <c r="A3">
        <v>3</v>
      </c>
      <c r="B3" t="s">
        <v>139</v>
      </c>
      <c r="C3">
        <v>67</v>
      </c>
      <c r="D3">
        <v>5</v>
      </c>
      <c r="E3" s="2">
        <v>44495</v>
      </c>
      <c r="F3" s="3">
        <v>0.80003472222222227</v>
      </c>
      <c r="G3" s="2">
        <v>44498</v>
      </c>
      <c r="H3" s="3">
        <v>0.73541666666666672</v>
      </c>
      <c r="I3" t="s">
        <v>437</v>
      </c>
      <c r="J3" t="s">
        <v>587</v>
      </c>
      <c r="K3">
        <v>19</v>
      </c>
      <c r="L3">
        <v>17</v>
      </c>
      <c r="M3">
        <v>3</v>
      </c>
      <c r="N3">
        <v>1374</v>
      </c>
    </row>
    <row r="4" spans="1:14" x14ac:dyDescent="0.3">
      <c r="A4">
        <v>2</v>
      </c>
      <c r="B4" t="s">
        <v>99</v>
      </c>
      <c r="C4">
        <v>41</v>
      </c>
      <c r="D4">
        <v>2</v>
      </c>
      <c r="E4" s="2">
        <v>44533</v>
      </c>
      <c r="F4" s="3">
        <v>0.979375</v>
      </c>
      <c r="G4" s="2">
        <v>44536</v>
      </c>
      <c r="H4" s="3">
        <v>0.30297453703703703</v>
      </c>
      <c r="I4" t="s">
        <v>429</v>
      </c>
      <c r="J4" t="s">
        <v>588</v>
      </c>
      <c r="K4">
        <v>23</v>
      </c>
      <c r="L4">
        <v>7</v>
      </c>
      <c r="M4">
        <v>3</v>
      </c>
      <c r="N4">
        <v>1977</v>
      </c>
    </row>
    <row r="5" spans="1:14" x14ac:dyDescent="0.3">
      <c r="A5">
        <v>50</v>
      </c>
      <c r="B5" t="s">
        <v>79</v>
      </c>
      <c r="C5">
        <v>41</v>
      </c>
      <c r="D5">
        <v>4</v>
      </c>
      <c r="E5" s="2">
        <v>44270</v>
      </c>
      <c r="F5" s="3">
        <v>0.28927083333333331</v>
      </c>
      <c r="G5" s="2">
        <v>44274</v>
      </c>
      <c r="H5" s="3">
        <v>0.43011574074074072</v>
      </c>
      <c r="I5" t="s">
        <v>429</v>
      </c>
      <c r="J5" t="s">
        <v>589</v>
      </c>
      <c r="K5">
        <v>6</v>
      </c>
      <c r="L5">
        <v>10</v>
      </c>
      <c r="M5">
        <v>4</v>
      </c>
      <c r="N5">
        <v>1977</v>
      </c>
    </row>
    <row r="6" spans="1:14" x14ac:dyDescent="0.3">
      <c r="A6">
        <v>4</v>
      </c>
      <c r="B6" t="s">
        <v>70</v>
      </c>
      <c r="C6">
        <v>14</v>
      </c>
      <c r="D6">
        <v>5</v>
      </c>
      <c r="E6" s="2">
        <v>44276</v>
      </c>
      <c r="F6" s="3">
        <v>0.19755787037037037</v>
      </c>
      <c r="G6" s="2">
        <v>44278</v>
      </c>
      <c r="H6" s="3">
        <v>0.27318287037037037</v>
      </c>
      <c r="I6" t="s">
        <v>433</v>
      </c>
      <c r="J6" t="s">
        <v>589</v>
      </c>
      <c r="K6">
        <v>4</v>
      </c>
      <c r="L6">
        <v>6</v>
      </c>
      <c r="M6">
        <v>2</v>
      </c>
      <c r="N6">
        <v>1915</v>
      </c>
    </row>
    <row r="7" spans="1:14" x14ac:dyDescent="0.3">
      <c r="A7">
        <v>44</v>
      </c>
      <c r="B7" t="s">
        <v>44</v>
      </c>
      <c r="C7">
        <v>14</v>
      </c>
      <c r="D7">
        <v>1</v>
      </c>
      <c r="E7" s="2">
        <v>44406</v>
      </c>
      <c r="F7" s="3">
        <v>0.91523148148148148</v>
      </c>
      <c r="G7" s="2">
        <v>44409</v>
      </c>
      <c r="H7" s="3">
        <v>0.45010416666666669</v>
      </c>
      <c r="I7" t="s">
        <v>433</v>
      </c>
      <c r="J7" t="s">
        <v>590</v>
      </c>
      <c r="K7">
        <v>21</v>
      </c>
      <c r="L7">
        <v>10</v>
      </c>
      <c r="M7">
        <v>3</v>
      </c>
      <c r="N7">
        <v>1915</v>
      </c>
    </row>
    <row r="8" spans="1:14" x14ac:dyDescent="0.3">
      <c r="A8">
        <v>5</v>
      </c>
      <c r="B8" t="s">
        <v>332</v>
      </c>
      <c r="C8">
        <v>58</v>
      </c>
      <c r="D8">
        <v>2</v>
      </c>
      <c r="E8" s="2">
        <v>44295</v>
      </c>
      <c r="F8" s="3">
        <v>0.82277777777777783</v>
      </c>
      <c r="G8" s="2">
        <v>44299</v>
      </c>
      <c r="H8" s="3">
        <v>0.46449074074074076</v>
      </c>
      <c r="I8" t="s">
        <v>591</v>
      </c>
      <c r="J8" t="s">
        <v>592</v>
      </c>
      <c r="K8">
        <v>19</v>
      </c>
      <c r="L8">
        <v>11</v>
      </c>
      <c r="M8">
        <v>4</v>
      </c>
      <c r="N8">
        <v>1492</v>
      </c>
    </row>
    <row r="9" spans="1:14" x14ac:dyDescent="0.3">
      <c r="A9">
        <v>56</v>
      </c>
      <c r="B9" t="s">
        <v>397</v>
      </c>
      <c r="C9">
        <v>58</v>
      </c>
      <c r="D9">
        <v>5</v>
      </c>
      <c r="E9" s="2">
        <v>44319</v>
      </c>
      <c r="F9" s="3">
        <v>0.50819444444444439</v>
      </c>
      <c r="G9" s="2">
        <v>44321</v>
      </c>
      <c r="H9" s="3">
        <v>0.78609953703703705</v>
      </c>
      <c r="I9" t="s">
        <v>591</v>
      </c>
      <c r="J9" t="s">
        <v>593</v>
      </c>
      <c r="K9">
        <v>12</v>
      </c>
      <c r="L9">
        <v>18</v>
      </c>
      <c r="M9">
        <v>2</v>
      </c>
      <c r="N9">
        <v>1492</v>
      </c>
    </row>
    <row r="10" spans="1:14" x14ac:dyDescent="0.3">
      <c r="A10">
        <v>55</v>
      </c>
      <c r="B10" t="s">
        <v>183</v>
      </c>
      <c r="C10">
        <v>5</v>
      </c>
      <c r="D10">
        <v>1</v>
      </c>
      <c r="E10" s="2">
        <v>44374</v>
      </c>
      <c r="F10" s="3">
        <v>0.33410879629629631</v>
      </c>
      <c r="G10" s="2">
        <v>44378</v>
      </c>
      <c r="H10" s="3">
        <v>0.32150462962962961</v>
      </c>
      <c r="I10" t="s">
        <v>594</v>
      </c>
      <c r="J10" t="s">
        <v>586</v>
      </c>
      <c r="K10">
        <v>8</v>
      </c>
      <c r="L10">
        <v>7</v>
      </c>
      <c r="M10">
        <v>4</v>
      </c>
      <c r="N10">
        <v>1444</v>
      </c>
    </row>
    <row r="11" spans="1:14" x14ac:dyDescent="0.3">
      <c r="A11">
        <v>60</v>
      </c>
      <c r="B11" t="s">
        <v>115</v>
      </c>
      <c r="C11">
        <v>5</v>
      </c>
      <c r="D11">
        <v>2</v>
      </c>
      <c r="E11" s="2">
        <v>44337</v>
      </c>
      <c r="F11" s="3">
        <v>0.2824652777777778</v>
      </c>
      <c r="G11" s="2">
        <v>44339</v>
      </c>
      <c r="H11" s="3">
        <v>0.54439814814814813</v>
      </c>
      <c r="I11" t="s">
        <v>594</v>
      </c>
      <c r="J11" t="s">
        <v>593</v>
      </c>
      <c r="K11">
        <v>6</v>
      </c>
      <c r="L11">
        <v>13</v>
      </c>
      <c r="M11">
        <v>2</v>
      </c>
      <c r="N11">
        <v>1444</v>
      </c>
    </row>
    <row r="12" spans="1:14" x14ac:dyDescent="0.3">
      <c r="A12">
        <v>6</v>
      </c>
      <c r="B12" t="s">
        <v>183</v>
      </c>
      <c r="C12">
        <v>28</v>
      </c>
      <c r="D12">
        <v>4</v>
      </c>
      <c r="E12" s="2">
        <v>44386</v>
      </c>
      <c r="F12" s="3">
        <v>0.92471064814814818</v>
      </c>
      <c r="G12" s="2">
        <v>44390</v>
      </c>
      <c r="H12" s="3">
        <v>0.79636574074074074</v>
      </c>
      <c r="I12" t="s">
        <v>429</v>
      </c>
      <c r="J12" t="s">
        <v>590</v>
      </c>
      <c r="K12">
        <v>22</v>
      </c>
      <c r="L12">
        <v>19</v>
      </c>
      <c r="M12">
        <v>4</v>
      </c>
      <c r="N12">
        <v>1778</v>
      </c>
    </row>
    <row r="13" spans="1:14" x14ac:dyDescent="0.3">
      <c r="A13">
        <v>26</v>
      </c>
      <c r="B13" t="s">
        <v>183</v>
      </c>
      <c r="C13">
        <v>6</v>
      </c>
      <c r="D13">
        <v>3</v>
      </c>
      <c r="E13" s="2">
        <v>44287</v>
      </c>
      <c r="F13" s="3">
        <v>0.21048611111111112</v>
      </c>
      <c r="G13" s="2">
        <v>44293</v>
      </c>
      <c r="H13" s="3">
        <v>0.25429398148148147</v>
      </c>
      <c r="I13" t="s">
        <v>433</v>
      </c>
      <c r="J13" t="s">
        <v>592</v>
      </c>
      <c r="K13">
        <v>5</v>
      </c>
      <c r="L13">
        <v>6</v>
      </c>
      <c r="M13">
        <v>6</v>
      </c>
      <c r="N13">
        <v>1112</v>
      </c>
    </row>
    <row r="14" spans="1:14" x14ac:dyDescent="0.3">
      <c r="A14">
        <v>62</v>
      </c>
      <c r="B14" t="s">
        <v>316</v>
      </c>
      <c r="C14">
        <v>6</v>
      </c>
      <c r="D14">
        <v>4</v>
      </c>
      <c r="E14" s="2">
        <v>44466</v>
      </c>
      <c r="F14" s="3">
        <v>0.64642361111111113</v>
      </c>
      <c r="G14" s="2">
        <v>44471</v>
      </c>
      <c r="H14" s="3">
        <v>0.99421296296296291</v>
      </c>
      <c r="I14" t="s">
        <v>433</v>
      </c>
      <c r="J14" t="s">
        <v>595</v>
      </c>
      <c r="K14">
        <v>15</v>
      </c>
      <c r="L14">
        <v>23</v>
      </c>
      <c r="M14">
        <v>5</v>
      </c>
      <c r="N14">
        <v>1112</v>
      </c>
    </row>
    <row r="15" spans="1:14" x14ac:dyDescent="0.3">
      <c r="A15">
        <v>7</v>
      </c>
      <c r="B15" t="s">
        <v>58</v>
      </c>
      <c r="C15">
        <v>45</v>
      </c>
      <c r="D15">
        <v>2</v>
      </c>
      <c r="E15" s="2">
        <v>44296</v>
      </c>
      <c r="F15" s="3">
        <v>7.3067129629629635E-2</v>
      </c>
      <c r="G15" s="2">
        <v>44302</v>
      </c>
      <c r="H15" s="3">
        <v>0.42172453703703705</v>
      </c>
      <c r="I15" t="s">
        <v>433</v>
      </c>
      <c r="J15" t="s">
        <v>592</v>
      </c>
      <c r="K15">
        <v>1</v>
      </c>
      <c r="L15">
        <v>10</v>
      </c>
      <c r="M15">
        <v>6</v>
      </c>
      <c r="N15">
        <v>722</v>
      </c>
    </row>
    <row r="16" spans="1:14" x14ac:dyDescent="0.3">
      <c r="A16">
        <v>31</v>
      </c>
      <c r="B16" t="s">
        <v>139</v>
      </c>
      <c r="C16">
        <v>7</v>
      </c>
      <c r="D16">
        <v>5</v>
      </c>
      <c r="E16" s="2">
        <v>44422</v>
      </c>
      <c r="F16" s="3">
        <v>0.55094907407407412</v>
      </c>
      <c r="G16" s="2">
        <v>44426</v>
      </c>
      <c r="H16" s="3">
        <v>0.98320601851851852</v>
      </c>
      <c r="I16" t="s">
        <v>433</v>
      </c>
      <c r="J16" t="s">
        <v>596</v>
      </c>
      <c r="K16">
        <v>13</v>
      </c>
      <c r="L16">
        <v>23</v>
      </c>
      <c r="M16">
        <v>4</v>
      </c>
      <c r="N16">
        <v>409</v>
      </c>
    </row>
    <row r="17" spans="1:14" x14ac:dyDescent="0.3">
      <c r="A17">
        <v>32</v>
      </c>
      <c r="B17" t="s">
        <v>280</v>
      </c>
      <c r="C17">
        <v>7</v>
      </c>
      <c r="D17">
        <v>5</v>
      </c>
      <c r="E17" s="2">
        <v>44339</v>
      </c>
      <c r="F17" s="3">
        <v>0.65047453703703706</v>
      </c>
      <c r="G17" s="2">
        <v>44344</v>
      </c>
      <c r="H17" s="3">
        <v>0.6626157407407407</v>
      </c>
      <c r="I17" t="s">
        <v>433</v>
      </c>
      <c r="J17" t="s">
        <v>593</v>
      </c>
      <c r="K17">
        <v>15</v>
      </c>
      <c r="L17">
        <v>15</v>
      </c>
      <c r="M17">
        <v>5</v>
      </c>
      <c r="N17">
        <v>409</v>
      </c>
    </row>
    <row r="18" spans="1:14" x14ac:dyDescent="0.3">
      <c r="A18">
        <v>35</v>
      </c>
      <c r="B18" t="s">
        <v>242</v>
      </c>
      <c r="C18">
        <v>7</v>
      </c>
      <c r="D18">
        <v>5</v>
      </c>
      <c r="E18" s="2">
        <v>44359</v>
      </c>
      <c r="F18" s="3">
        <v>0.67391203703703706</v>
      </c>
      <c r="G18" s="2">
        <v>44361</v>
      </c>
      <c r="H18" s="3">
        <v>0.625462962962963</v>
      </c>
      <c r="I18" t="s">
        <v>433</v>
      </c>
      <c r="J18" t="s">
        <v>586</v>
      </c>
      <c r="K18">
        <v>16</v>
      </c>
      <c r="L18">
        <v>15</v>
      </c>
      <c r="M18">
        <v>2</v>
      </c>
      <c r="N18">
        <v>409</v>
      </c>
    </row>
    <row r="19" spans="1:14" x14ac:dyDescent="0.3">
      <c r="A19">
        <v>47</v>
      </c>
      <c r="B19" t="s">
        <v>74</v>
      </c>
      <c r="C19">
        <v>7</v>
      </c>
      <c r="D19">
        <v>5</v>
      </c>
      <c r="E19" s="2">
        <v>44383</v>
      </c>
      <c r="F19" s="3">
        <v>0.54476851851851849</v>
      </c>
      <c r="G19" s="2">
        <v>44387</v>
      </c>
      <c r="H19" s="3">
        <v>0.2502314814814815</v>
      </c>
      <c r="I19" t="s">
        <v>433</v>
      </c>
      <c r="J19" t="s">
        <v>590</v>
      </c>
      <c r="K19">
        <v>13</v>
      </c>
      <c r="L19">
        <v>6</v>
      </c>
      <c r="M19">
        <v>4</v>
      </c>
      <c r="N19">
        <v>409</v>
      </c>
    </row>
    <row r="20" spans="1:14" x14ac:dyDescent="0.3">
      <c r="A20">
        <v>8</v>
      </c>
      <c r="B20" t="s">
        <v>405</v>
      </c>
      <c r="C20">
        <v>43</v>
      </c>
      <c r="D20">
        <v>3</v>
      </c>
      <c r="E20" s="2">
        <v>44467</v>
      </c>
      <c r="F20" s="3">
        <v>0.80557870370370366</v>
      </c>
      <c r="G20" s="2">
        <v>44469</v>
      </c>
      <c r="H20" s="3">
        <v>0.36440972222222223</v>
      </c>
      <c r="I20" t="s">
        <v>429</v>
      </c>
      <c r="J20" t="s">
        <v>595</v>
      </c>
      <c r="K20">
        <v>19</v>
      </c>
      <c r="L20">
        <v>8</v>
      </c>
      <c r="M20">
        <v>2</v>
      </c>
      <c r="N20">
        <v>750</v>
      </c>
    </row>
    <row r="21" spans="1:14" x14ac:dyDescent="0.3">
      <c r="A21">
        <v>22</v>
      </c>
      <c r="B21" t="s">
        <v>238</v>
      </c>
      <c r="C21">
        <v>43</v>
      </c>
      <c r="D21">
        <v>1</v>
      </c>
      <c r="E21" s="2">
        <v>44387</v>
      </c>
      <c r="F21" s="3">
        <v>4.5462962962962962E-2</v>
      </c>
      <c r="G21" s="2">
        <v>44392</v>
      </c>
      <c r="H21" s="3">
        <v>0.40957175925925926</v>
      </c>
      <c r="I21" t="s">
        <v>429</v>
      </c>
      <c r="J21" t="s">
        <v>590</v>
      </c>
      <c r="K21">
        <v>1</v>
      </c>
      <c r="L21">
        <v>9</v>
      </c>
      <c r="M21">
        <v>5</v>
      </c>
      <c r="N21">
        <v>750</v>
      </c>
    </row>
    <row r="22" spans="1:14" x14ac:dyDescent="0.3">
      <c r="A22">
        <v>39</v>
      </c>
      <c r="B22" t="s">
        <v>238</v>
      </c>
      <c r="C22">
        <v>43</v>
      </c>
      <c r="D22">
        <v>2</v>
      </c>
      <c r="E22" s="2">
        <v>44460</v>
      </c>
      <c r="F22" s="3">
        <v>0.80969907407407404</v>
      </c>
      <c r="G22" s="2">
        <v>44466</v>
      </c>
      <c r="H22" s="3">
        <v>0.56159722222222219</v>
      </c>
      <c r="I22" t="s">
        <v>429</v>
      </c>
      <c r="J22" t="s">
        <v>595</v>
      </c>
      <c r="K22">
        <v>19</v>
      </c>
      <c r="L22">
        <v>13</v>
      </c>
      <c r="M22">
        <v>6</v>
      </c>
      <c r="N22">
        <v>750</v>
      </c>
    </row>
    <row r="23" spans="1:14" x14ac:dyDescent="0.3">
      <c r="A23">
        <v>49</v>
      </c>
      <c r="B23" t="s">
        <v>103</v>
      </c>
      <c r="C23">
        <v>43</v>
      </c>
      <c r="D23">
        <v>1</v>
      </c>
      <c r="E23" s="2">
        <v>44557</v>
      </c>
      <c r="F23" s="3">
        <v>0.73923611111111109</v>
      </c>
      <c r="G23" s="2">
        <v>44562</v>
      </c>
      <c r="H23" s="3">
        <v>0.57629629629629631</v>
      </c>
      <c r="I23" t="s">
        <v>429</v>
      </c>
      <c r="J23" t="s">
        <v>588</v>
      </c>
      <c r="K23">
        <v>17</v>
      </c>
      <c r="L23">
        <v>13</v>
      </c>
      <c r="M23">
        <v>5</v>
      </c>
      <c r="N23">
        <v>750</v>
      </c>
    </row>
    <row r="24" spans="1:14" x14ac:dyDescent="0.3">
      <c r="A24">
        <v>33</v>
      </c>
      <c r="B24" t="s">
        <v>211</v>
      </c>
      <c r="C24">
        <v>8</v>
      </c>
      <c r="D24">
        <v>3</v>
      </c>
      <c r="E24" s="2">
        <v>44470</v>
      </c>
      <c r="F24" s="3">
        <v>6.7673611111111115E-2</v>
      </c>
      <c r="G24" s="2">
        <v>44476</v>
      </c>
      <c r="H24" s="3">
        <v>9.2673611111111109E-2</v>
      </c>
      <c r="I24" t="s">
        <v>437</v>
      </c>
      <c r="J24" t="s">
        <v>587</v>
      </c>
      <c r="K24">
        <v>1</v>
      </c>
      <c r="L24">
        <v>2</v>
      </c>
      <c r="M24">
        <v>6</v>
      </c>
      <c r="N24">
        <v>252</v>
      </c>
    </row>
    <row r="25" spans="1:14" x14ac:dyDescent="0.3">
      <c r="A25">
        <v>9</v>
      </c>
      <c r="B25" t="s">
        <v>199</v>
      </c>
      <c r="C25">
        <v>27</v>
      </c>
      <c r="D25">
        <v>4</v>
      </c>
      <c r="E25" s="2">
        <v>44303</v>
      </c>
      <c r="F25" s="3">
        <v>0.98600694444444448</v>
      </c>
      <c r="G25" s="2">
        <v>44305</v>
      </c>
      <c r="H25" s="3">
        <v>0.99993055555555554</v>
      </c>
      <c r="I25" t="s">
        <v>429</v>
      </c>
      <c r="J25" t="s">
        <v>592</v>
      </c>
      <c r="K25">
        <v>23</v>
      </c>
      <c r="L25">
        <v>23</v>
      </c>
      <c r="M25">
        <v>2</v>
      </c>
      <c r="N25">
        <v>548</v>
      </c>
    </row>
    <row r="26" spans="1:14" x14ac:dyDescent="0.3">
      <c r="A26">
        <v>27</v>
      </c>
      <c r="B26" t="s">
        <v>273</v>
      </c>
      <c r="C26">
        <v>9</v>
      </c>
      <c r="D26">
        <v>2</v>
      </c>
      <c r="E26" s="2">
        <v>44535</v>
      </c>
      <c r="F26" s="3">
        <v>0.46976851851851853</v>
      </c>
      <c r="G26" s="2">
        <v>44537</v>
      </c>
      <c r="H26" s="3">
        <v>0.33277777777777778</v>
      </c>
      <c r="I26" t="s">
        <v>429</v>
      </c>
      <c r="J26" t="s">
        <v>588</v>
      </c>
      <c r="K26">
        <v>11</v>
      </c>
      <c r="L26">
        <v>7</v>
      </c>
      <c r="M26">
        <v>2</v>
      </c>
      <c r="N26">
        <v>1605</v>
      </c>
    </row>
    <row r="27" spans="1:14" x14ac:dyDescent="0.3">
      <c r="A27">
        <v>52</v>
      </c>
      <c r="B27" t="s">
        <v>115</v>
      </c>
      <c r="C27">
        <v>9</v>
      </c>
      <c r="D27">
        <v>1</v>
      </c>
      <c r="E27" s="2">
        <v>44265</v>
      </c>
      <c r="F27" s="3">
        <v>0.83011574074074079</v>
      </c>
      <c r="G27" s="2">
        <v>44268</v>
      </c>
      <c r="H27" s="3">
        <v>0.1819675925925926</v>
      </c>
      <c r="I27" t="s">
        <v>429</v>
      </c>
      <c r="J27" t="s">
        <v>589</v>
      </c>
      <c r="K27">
        <v>19</v>
      </c>
      <c r="L27">
        <v>4</v>
      </c>
      <c r="M27">
        <v>3</v>
      </c>
      <c r="N27">
        <v>1605</v>
      </c>
    </row>
    <row r="28" spans="1:14" x14ac:dyDescent="0.3">
      <c r="A28">
        <v>53</v>
      </c>
      <c r="B28" t="s">
        <v>203</v>
      </c>
      <c r="C28">
        <v>9</v>
      </c>
      <c r="D28">
        <v>5</v>
      </c>
      <c r="E28" s="2">
        <v>44405</v>
      </c>
      <c r="F28" s="3">
        <v>0.35121527777777778</v>
      </c>
      <c r="G28" s="2">
        <v>44408</v>
      </c>
      <c r="H28" s="3">
        <v>0.24966435185185185</v>
      </c>
      <c r="I28" t="s">
        <v>429</v>
      </c>
      <c r="J28" t="s">
        <v>590</v>
      </c>
      <c r="K28">
        <v>8</v>
      </c>
      <c r="L28">
        <v>5</v>
      </c>
      <c r="M28">
        <v>3</v>
      </c>
      <c r="N28">
        <v>1605</v>
      </c>
    </row>
    <row r="29" spans="1:14" x14ac:dyDescent="0.3">
      <c r="A29">
        <v>71</v>
      </c>
      <c r="B29" t="s">
        <v>74</v>
      </c>
      <c r="C29">
        <v>9</v>
      </c>
      <c r="D29">
        <v>5</v>
      </c>
      <c r="E29" s="2">
        <v>44403</v>
      </c>
      <c r="F29" s="3">
        <v>0.68895833333333334</v>
      </c>
      <c r="G29" s="2">
        <v>44407</v>
      </c>
      <c r="H29" s="3">
        <v>0.5635648148148148</v>
      </c>
      <c r="I29" t="s">
        <v>429</v>
      </c>
      <c r="J29" t="s">
        <v>590</v>
      </c>
      <c r="K29">
        <v>16</v>
      </c>
      <c r="L29">
        <v>13</v>
      </c>
      <c r="M29">
        <v>4</v>
      </c>
      <c r="N29">
        <v>1605</v>
      </c>
    </row>
    <row r="30" spans="1:14" x14ac:dyDescent="0.3">
      <c r="A30">
        <v>10</v>
      </c>
      <c r="B30" t="s">
        <v>413</v>
      </c>
      <c r="C30">
        <v>56</v>
      </c>
      <c r="D30">
        <v>3</v>
      </c>
      <c r="E30" s="2">
        <v>44424</v>
      </c>
      <c r="F30" s="3">
        <v>1.2106481481481482E-2</v>
      </c>
      <c r="G30" s="2">
        <v>44426</v>
      </c>
      <c r="H30" s="3">
        <v>0.86646990740740737</v>
      </c>
      <c r="I30" t="s">
        <v>437</v>
      </c>
      <c r="J30" t="s">
        <v>596</v>
      </c>
      <c r="K30">
        <v>0</v>
      </c>
      <c r="L30">
        <v>20</v>
      </c>
      <c r="M30">
        <v>2</v>
      </c>
      <c r="N30">
        <v>1272</v>
      </c>
    </row>
    <row r="31" spans="1:14" x14ac:dyDescent="0.3">
      <c r="A31">
        <v>29</v>
      </c>
      <c r="B31" t="s">
        <v>277</v>
      </c>
      <c r="C31">
        <v>10</v>
      </c>
      <c r="D31">
        <v>5</v>
      </c>
      <c r="E31" s="2">
        <v>44507</v>
      </c>
      <c r="F31" s="3">
        <v>4.6087962962962963E-2</v>
      </c>
      <c r="G31" s="2">
        <v>44513</v>
      </c>
      <c r="H31" s="3">
        <v>0.60365740740740736</v>
      </c>
      <c r="I31" t="s">
        <v>433</v>
      </c>
      <c r="J31" t="s">
        <v>597</v>
      </c>
      <c r="K31">
        <v>1</v>
      </c>
      <c r="L31">
        <v>14</v>
      </c>
      <c r="M31">
        <v>6</v>
      </c>
      <c r="N31">
        <v>259</v>
      </c>
    </row>
    <row r="32" spans="1:14" x14ac:dyDescent="0.3">
      <c r="A32">
        <v>51</v>
      </c>
      <c r="B32" t="s">
        <v>167</v>
      </c>
      <c r="C32">
        <v>10</v>
      </c>
      <c r="D32">
        <v>1</v>
      </c>
      <c r="E32" s="2">
        <v>44492</v>
      </c>
      <c r="F32" s="3">
        <v>0.39153935185185185</v>
      </c>
      <c r="G32" s="2">
        <v>44497</v>
      </c>
      <c r="H32" s="3">
        <v>0.69907407407407407</v>
      </c>
      <c r="I32" t="s">
        <v>433</v>
      </c>
      <c r="J32" t="s">
        <v>587</v>
      </c>
      <c r="K32">
        <v>9</v>
      </c>
      <c r="L32">
        <v>16</v>
      </c>
      <c r="M32">
        <v>5</v>
      </c>
      <c r="N32">
        <v>259</v>
      </c>
    </row>
    <row r="33" spans="1:14" x14ac:dyDescent="0.3">
      <c r="A33">
        <v>67</v>
      </c>
      <c r="B33" t="s">
        <v>211</v>
      </c>
      <c r="C33">
        <v>10</v>
      </c>
      <c r="D33">
        <v>2</v>
      </c>
      <c r="E33" s="2">
        <v>44472</v>
      </c>
      <c r="F33" s="3">
        <v>0.72802083333333334</v>
      </c>
      <c r="G33" s="2">
        <v>44475</v>
      </c>
      <c r="H33" s="3">
        <v>0.88265046296296301</v>
      </c>
      <c r="I33" t="s">
        <v>433</v>
      </c>
      <c r="J33" t="s">
        <v>587</v>
      </c>
      <c r="K33">
        <v>17</v>
      </c>
      <c r="L33">
        <v>21</v>
      </c>
      <c r="M33">
        <v>3</v>
      </c>
      <c r="N33">
        <v>259</v>
      </c>
    </row>
    <row r="34" spans="1:14" x14ac:dyDescent="0.3">
      <c r="A34">
        <v>11</v>
      </c>
      <c r="B34" t="s">
        <v>280</v>
      </c>
      <c r="C34">
        <v>16</v>
      </c>
      <c r="D34">
        <v>4</v>
      </c>
      <c r="E34" s="2">
        <v>44439</v>
      </c>
      <c r="F34" s="3">
        <v>0.84369212962962958</v>
      </c>
      <c r="G34" s="2">
        <v>44443</v>
      </c>
      <c r="H34" s="3">
        <v>0.97207175925925926</v>
      </c>
      <c r="I34" t="s">
        <v>433</v>
      </c>
      <c r="J34" t="s">
        <v>596</v>
      </c>
      <c r="K34">
        <v>20</v>
      </c>
      <c r="L34">
        <v>23</v>
      </c>
      <c r="M34">
        <v>4</v>
      </c>
      <c r="N34">
        <v>1721</v>
      </c>
    </row>
    <row r="35" spans="1:14" x14ac:dyDescent="0.3">
      <c r="A35">
        <v>12</v>
      </c>
      <c r="B35" t="s">
        <v>405</v>
      </c>
      <c r="C35">
        <v>38</v>
      </c>
      <c r="D35">
        <v>3</v>
      </c>
      <c r="E35" s="2">
        <v>44278</v>
      </c>
      <c r="F35" s="3">
        <v>0.35342592592592592</v>
      </c>
      <c r="G35" s="2">
        <v>44280</v>
      </c>
      <c r="H35" s="3">
        <v>0.98260416666666661</v>
      </c>
      <c r="I35" t="s">
        <v>433</v>
      </c>
      <c r="J35" t="s">
        <v>589</v>
      </c>
      <c r="K35">
        <v>8</v>
      </c>
      <c r="L35">
        <v>23</v>
      </c>
      <c r="M35">
        <v>2</v>
      </c>
      <c r="N35">
        <v>562</v>
      </c>
    </row>
    <row r="36" spans="1:14" x14ac:dyDescent="0.3">
      <c r="A36">
        <v>23</v>
      </c>
      <c r="B36" t="s">
        <v>187</v>
      </c>
      <c r="C36">
        <v>12</v>
      </c>
      <c r="D36">
        <v>3</v>
      </c>
      <c r="E36" s="2">
        <v>44497</v>
      </c>
      <c r="F36" s="3">
        <v>0.22815972222222222</v>
      </c>
      <c r="G36" s="2">
        <v>44500</v>
      </c>
      <c r="H36" s="3">
        <v>0.50861111111111112</v>
      </c>
      <c r="I36" t="s">
        <v>437</v>
      </c>
      <c r="J36" t="s">
        <v>587</v>
      </c>
      <c r="K36">
        <v>5</v>
      </c>
      <c r="L36">
        <v>12</v>
      </c>
      <c r="M36">
        <v>3</v>
      </c>
      <c r="N36">
        <v>672</v>
      </c>
    </row>
    <row r="37" spans="1:14" x14ac:dyDescent="0.3">
      <c r="A37">
        <v>69</v>
      </c>
      <c r="B37" t="s">
        <v>382</v>
      </c>
      <c r="C37">
        <v>12</v>
      </c>
      <c r="D37">
        <v>4</v>
      </c>
      <c r="E37" s="2">
        <v>44297</v>
      </c>
      <c r="F37" s="3">
        <v>0.80672453703703706</v>
      </c>
      <c r="G37" s="2">
        <v>44299</v>
      </c>
      <c r="H37" s="3">
        <v>0.3958564814814815</v>
      </c>
      <c r="I37" t="s">
        <v>437</v>
      </c>
      <c r="J37" t="s">
        <v>592</v>
      </c>
      <c r="K37">
        <v>19</v>
      </c>
      <c r="L37">
        <v>9</v>
      </c>
      <c r="M37">
        <v>2</v>
      </c>
      <c r="N37">
        <v>672</v>
      </c>
    </row>
    <row r="38" spans="1:14" x14ac:dyDescent="0.3">
      <c r="A38">
        <v>13</v>
      </c>
      <c r="B38" t="s">
        <v>119</v>
      </c>
      <c r="C38">
        <v>20</v>
      </c>
      <c r="D38">
        <v>3</v>
      </c>
      <c r="E38" s="2">
        <v>44264</v>
      </c>
      <c r="F38" s="3">
        <v>0.69949074074074069</v>
      </c>
      <c r="G38" s="2">
        <v>44270</v>
      </c>
      <c r="H38" s="3">
        <v>0.10251157407407407</v>
      </c>
      <c r="I38" t="s">
        <v>437</v>
      </c>
      <c r="J38" t="s">
        <v>589</v>
      </c>
      <c r="K38">
        <v>16</v>
      </c>
      <c r="L38">
        <v>2</v>
      </c>
      <c r="M38">
        <v>6</v>
      </c>
      <c r="N38">
        <v>697</v>
      </c>
    </row>
    <row r="39" spans="1:14" x14ac:dyDescent="0.3">
      <c r="A39">
        <v>16</v>
      </c>
      <c r="B39" t="s">
        <v>74</v>
      </c>
      <c r="C39">
        <v>20</v>
      </c>
      <c r="D39">
        <v>3</v>
      </c>
      <c r="E39" s="2">
        <v>44433</v>
      </c>
      <c r="F39" s="3">
        <v>0.62929398148148152</v>
      </c>
      <c r="G39" s="2">
        <v>44435</v>
      </c>
      <c r="H39" s="3">
        <v>0.92663194444444441</v>
      </c>
      <c r="I39" t="s">
        <v>437</v>
      </c>
      <c r="J39" t="s">
        <v>596</v>
      </c>
      <c r="K39">
        <v>15</v>
      </c>
      <c r="L39">
        <v>22</v>
      </c>
      <c r="M39">
        <v>2</v>
      </c>
      <c r="N39">
        <v>697</v>
      </c>
    </row>
    <row r="40" spans="1:14" x14ac:dyDescent="0.3">
      <c r="A40">
        <v>14</v>
      </c>
      <c r="B40" t="s">
        <v>191</v>
      </c>
      <c r="C40">
        <v>60</v>
      </c>
      <c r="D40">
        <v>1</v>
      </c>
      <c r="E40" s="2">
        <v>44225</v>
      </c>
      <c r="F40" s="3">
        <v>0.1570138888888889</v>
      </c>
      <c r="G40" s="2">
        <v>44227</v>
      </c>
      <c r="H40" s="3">
        <v>0.50557870370370372</v>
      </c>
      <c r="I40" t="s">
        <v>429</v>
      </c>
      <c r="J40" t="s">
        <v>598</v>
      </c>
      <c r="K40">
        <v>3</v>
      </c>
      <c r="L40">
        <v>12</v>
      </c>
      <c r="M40">
        <v>2</v>
      </c>
      <c r="N40">
        <v>827</v>
      </c>
    </row>
    <row r="41" spans="1:14" x14ac:dyDescent="0.3">
      <c r="A41">
        <v>17</v>
      </c>
      <c r="B41" t="s">
        <v>246</v>
      </c>
      <c r="C41">
        <v>60</v>
      </c>
      <c r="D41">
        <v>2</v>
      </c>
      <c r="E41" s="2">
        <v>44549</v>
      </c>
      <c r="F41" s="3">
        <v>0.48024305555555558</v>
      </c>
      <c r="G41" s="2">
        <v>44554</v>
      </c>
      <c r="H41" s="3">
        <v>0.77792824074074074</v>
      </c>
      <c r="I41" t="s">
        <v>429</v>
      </c>
      <c r="J41" t="s">
        <v>588</v>
      </c>
      <c r="K41">
        <v>11</v>
      </c>
      <c r="L41">
        <v>18</v>
      </c>
      <c r="M41">
        <v>5</v>
      </c>
      <c r="N41">
        <v>827</v>
      </c>
    </row>
    <row r="42" spans="1:14" x14ac:dyDescent="0.3">
      <c r="A42">
        <v>15</v>
      </c>
      <c r="B42" t="s">
        <v>296</v>
      </c>
      <c r="C42">
        <v>21</v>
      </c>
      <c r="D42">
        <v>5</v>
      </c>
      <c r="E42" s="2">
        <v>44544</v>
      </c>
      <c r="F42" s="3">
        <v>0.11989583333333333</v>
      </c>
      <c r="G42" s="2">
        <v>44548</v>
      </c>
      <c r="H42" s="3">
        <v>0.56024305555555554</v>
      </c>
      <c r="I42" t="s">
        <v>429</v>
      </c>
      <c r="J42" t="s">
        <v>588</v>
      </c>
      <c r="K42">
        <v>2</v>
      </c>
      <c r="L42">
        <v>13</v>
      </c>
      <c r="M42">
        <v>4</v>
      </c>
      <c r="N42">
        <v>1561</v>
      </c>
    </row>
    <row r="43" spans="1:14" x14ac:dyDescent="0.3">
      <c r="A43">
        <v>34</v>
      </c>
      <c r="B43" t="s">
        <v>304</v>
      </c>
      <c r="C43">
        <v>17</v>
      </c>
      <c r="D43">
        <v>2</v>
      </c>
      <c r="E43" s="2">
        <v>44365</v>
      </c>
      <c r="F43" s="3">
        <v>0.95711805555555551</v>
      </c>
      <c r="G43" s="2">
        <v>44367</v>
      </c>
      <c r="H43" s="3">
        <v>0.23386574074074074</v>
      </c>
      <c r="I43" t="s">
        <v>437</v>
      </c>
      <c r="J43" t="s">
        <v>586</v>
      </c>
      <c r="K43">
        <v>22</v>
      </c>
      <c r="L43">
        <v>5</v>
      </c>
      <c r="M43">
        <v>2</v>
      </c>
      <c r="N43">
        <v>1899</v>
      </c>
    </row>
    <row r="44" spans="1:14" x14ac:dyDescent="0.3">
      <c r="A44">
        <v>70</v>
      </c>
      <c r="B44" t="s">
        <v>171</v>
      </c>
      <c r="C44">
        <v>17</v>
      </c>
      <c r="D44">
        <v>1</v>
      </c>
      <c r="E44" s="2">
        <v>44500</v>
      </c>
      <c r="F44" s="3">
        <v>0.18135416666666668</v>
      </c>
      <c r="G44" s="2">
        <v>44504</v>
      </c>
      <c r="H44" s="3">
        <v>0.48927083333333332</v>
      </c>
      <c r="I44" t="s">
        <v>437</v>
      </c>
      <c r="J44" t="s">
        <v>587</v>
      </c>
      <c r="K44">
        <v>4</v>
      </c>
      <c r="L44">
        <v>11</v>
      </c>
      <c r="M44">
        <v>4</v>
      </c>
      <c r="N44">
        <v>1899</v>
      </c>
    </row>
    <row r="45" spans="1:14" x14ac:dyDescent="0.3">
      <c r="A45">
        <v>18</v>
      </c>
      <c r="B45" t="s">
        <v>308</v>
      </c>
      <c r="C45">
        <v>23</v>
      </c>
      <c r="D45">
        <v>4</v>
      </c>
      <c r="E45" s="2">
        <v>44359</v>
      </c>
      <c r="F45" s="3">
        <v>0.44878472222222221</v>
      </c>
      <c r="G45" s="2">
        <v>44361</v>
      </c>
      <c r="H45" s="3">
        <v>1.4224537037037037E-2</v>
      </c>
      <c r="I45" t="s">
        <v>437</v>
      </c>
      <c r="J45" t="s">
        <v>586</v>
      </c>
      <c r="K45">
        <v>10</v>
      </c>
      <c r="L45">
        <v>0</v>
      </c>
      <c r="M45">
        <v>2</v>
      </c>
      <c r="N45">
        <v>1098</v>
      </c>
    </row>
    <row r="46" spans="1:14" x14ac:dyDescent="0.3">
      <c r="A46">
        <v>30</v>
      </c>
      <c r="B46" t="s">
        <v>199</v>
      </c>
      <c r="C46">
        <v>23</v>
      </c>
      <c r="D46">
        <v>4</v>
      </c>
      <c r="E46" s="2">
        <v>44266</v>
      </c>
      <c r="F46" s="3">
        <v>0.39135416666666667</v>
      </c>
      <c r="G46" s="2">
        <v>44269</v>
      </c>
      <c r="H46" s="3">
        <v>0.56733796296296302</v>
      </c>
      <c r="I46" t="s">
        <v>437</v>
      </c>
      <c r="J46" t="s">
        <v>589</v>
      </c>
      <c r="K46">
        <v>9</v>
      </c>
      <c r="L46">
        <v>13</v>
      </c>
      <c r="M46">
        <v>3</v>
      </c>
      <c r="N46">
        <v>1098</v>
      </c>
    </row>
    <row r="47" spans="1:14" x14ac:dyDescent="0.3">
      <c r="A47">
        <v>19</v>
      </c>
      <c r="B47" t="s">
        <v>308</v>
      </c>
      <c r="C47">
        <v>62</v>
      </c>
      <c r="D47">
        <v>4</v>
      </c>
      <c r="E47" s="2">
        <v>44285</v>
      </c>
      <c r="F47" s="3">
        <v>0.33319444444444446</v>
      </c>
      <c r="G47" s="2">
        <v>44287</v>
      </c>
      <c r="H47" s="3">
        <v>0.12817129629629628</v>
      </c>
      <c r="I47" t="s">
        <v>433</v>
      </c>
      <c r="J47" t="s">
        <v>589</v>
      </c>
      <c r="K47">
        <v>7</v>
      </c>
      <c r="L47">
        <v>3</v>
      </c>
      <c r="M47">
        <v>2</v>
      </c>
      <c r="N47">
        <v>1356</v>
      </c>
    </row>
    <row r="48" spans="1:14" x14ac:dyDescent="0.3">
      <c r="A48">
        <v>37</v>
      </c>
      <c r="B48" t="s">
        <v>401</v>
      </c>
      <c r="C48">
        <v>19</v>
      </c>
      <c r="D48">
        <v>5</v>
      </c>
      <c r="E48" s="2">
        <v>44523</v>
      </c>
      <c r="F48" s="3">
        <v>0.45907407407407408</v>
      </c>
      <c r="G48" s="2">
        <v>44526</v>
      </c>
      <c r="H48" s="3">
        <v>0.88861111111111113</v>
      </c>
      <c r="I48" t="s">
        <v>591</v>
      </c>
      <c r="J48" t="s">
        <v>597</v>
      </c>
      <c r="K48">
        <v>11</v>
      </c>
      <c r="L48">
        <v>21</v>
      </c>
      <c r="M48">
        <v>3</v>
      </c>
      <c r="N48">
        <v>1234</v>
      </c>
    </row>
    <row r="49" spans="1:14" x14ac:dyDescent="0.3">
      <c r="A49">
        <v>20</v>
      </c>
      <c r="B49" t="s">
        <v>66</v>
      </c>
      <c r="C49">
        <v>52</v>
      </c>
      <c r="D49">
        <v>1</v>
      </c>
      <c r="E49" s="2">
        <v>44506</v>
      </c>
      <c r="F49" s="3">
        <v>0.60899305555555561</v>
      </c>
      <c r="G49" s="2">
        <v>44508</v>
      </c>
      <c r="H49" s="3">
        <v>6.5462962962962959E-2</v>
      </c>
      <c r="I49" t="s">
        <v>591</v>
      </c>
      <c r="J49" t="s">
        <v>597</v>
      </c>
      <c r="K49">
        <v>14</v>
      </c>
      <c r="L49">
        <v>1</v>
      </c>
      <c r="M49">
        <v>2</v>
      </c>
      <c r="N49">
        <v>236</v>
      </c>
    </row>
    <row r="50" spans="1:14" x14ac:dyDescent="0.3">
      <c r="A50">
        <v>21</v>
      </c>
      <c r="B50" t="s">
        <v>378</v>
      </c>
      <c r="C50">
        <v>32</v>
      </c>
      <c r="D50">
        <v>1</v>
      </c>
      <c r="E50" s="2">
        <v>44369</v>
      </c>
      <c r="F50" s="3">
        <v>0.47282407407407406</v>
      </c>
      <c r="G50" s="2">
        <v>44372</v>
      </c>
      <c r="H50" s="3">
        <v>0.48363425925925924</v>
      </c>
      <c r="I50" t="s">
        <v>433</v>
      </c>
      <c r="J50" t="s">
        <v>586</v>
      </c>
      <c r="K50">
        <v>11</v>
      </c>
      <c r="L50">
        <v>11</v>
      </c>
      <c r="M50">
        <v>3</v>
      </c>
      <c r="N50">
        <v>1792</v>
      </c>
    </row>
    <row r="51" spans="1:14" x14ac:dyDescent="0.3">
      <c r="A51">
        <v>46</v>
      </c>
      <c r="B51" t="s">
        <v>257</v>
      </c>
      <c r="C51">
        <v>22</v>
      </c>
      <c r="D51">
        <v>4</v>
      </c>
      <c r="E51" s="2">
        <v>44468</v>
      </c>
      <c r="F51" s="3">
        <v>0.13971064814814815</v>
      </c>
      <c r="G51" s="2">
        <v>44474</v>
      </c>
      <c r="H51" s="3">
        <v>0.33524305555555556</v>
      </c>
      <c r="I51" t="s">
        <v>594</v>
      </c>
      <c r="J51" t="s">
        <v>595</v>
      </c>
      <c r="K51">
        <v>3</v>
      </c>
      <c r="L51">
        <v>8</v>
      </c>
      <c r="M51">
        <v>6</v>
      </c>
      <c r="N51">
        <v>1639</v>
      </c>
    </row>
    <row r="52" spans="1:14" x14ac:dyDescent="0.3">
      <c r="A52">
        <v>24</v>
      </c>
      <c r="B52" t="s">
        <v>95</v>
      </c>
      <c r="C52">
        <v>42</v>
      </c>
      <c r="D52">
        <v>3</v>
      </c>
      <c r="E52" s="2">
        <v>44316</v>
      </c>
      <c r="F52" s="3">
        <v>0.21576388888888889</v>
      </c>
      <c r="G52" s="2">
        <v>44319</v>
      </c>
      <c r="H52" s="3">
        <v>0.33165509259259257</v>
      </c>
      <c r="I52" t="s">
        <v>594</v>
      </c>
      <c r="J52" t="s">
        <v>592</v>
      </c>
      <c r="K52">
        <v>5</v>
      </c>
      <c r="L52">
        <v>7</v>
      </c>
      <c r="M52">
        <v>3</v>
      </c>
      <c r="N52">
        <v>1744</v>
      </c>
    </row>
    <row r="53" spans="1:14" x14ac:dyDescent="0.3">
      <c r="A53">
        <v>28</v>
      </c>
      <c r="B53" t="s">
        <v>371</v>
      </c>
      <c r="C53">
        <v>42</v>
      </c>
      <c r="D53">
        <v>3</v>
      </c>
      <c r="E53" s="2">
        <v>44307</v>
      </c>
      <c r="F53" s="3">
        <v>0.14265046296296297</v>
      </c>
      <c r="G53" s="2">
        <v>44312</v>
      </c>
      <c r="H53" s="3">
        <v>0.32990740740740743</v>
      </c>
      <c r="I53" t="s">
        <v>594</v>
      </c>
      <c r="J53" t="s">
        <v>592</v>
      </c>
      <c r="K53">
        <v>3</v>
      </c>
      <c r="L53">
        <v>7</v>
      </c>
      <c r="M53">
        <v>5</v>
      </c>
      <c r="N53">
        <v>1744</v>
      </c>
    </row>
    <row r="54" spans="1:14" x14ac:dyDescent="0.3">
      <c r="A54">
        <v>63</v>
      </c>
      <c r="B54" t="s">
        <v>246</v>
      </c>
      <c r="C54">
        <v>42</v>
      </c>
      <c r="D54">
        <v>3</v>
      </c>
      <c r="E54" s="2">
        <v>44284</v>
      </c>
      <c r="F54" s="3">
        <v>0.26571759259259259</v>
      </c>
      <c r="G54" s="2">
        <v>44289</v>
      </c>
      <c r="H54" s="3">
        <v>0.65282407407407406</v>
      </c>
      <c r="I54" t="s">
        <v>594</v>
      </c>
      <c r="J54" t="s">
        <v>589</v>
      </c>
      <c r="K54">
        <v>6</v>
      </c>
      <c r="L54">
        <v>15</v>
      </c>
      <c r="M54">
        <v>5</v>
      </c>
      <c r="N54">
        <v>1744</v>
      </c>
    </row>
    <row r="55" spans="1:14" x14ac:dyDescent="0.3">
      <c r="A55">
        <v>25</v>
      </c>
      <c r="B55" t="s">
        <v>382</v>
      </c>
      <c r="C55">
        <v>30</v>
      </c>
      <c r="D55">
        <v>3</v>
      </c>
      <c r="E55" s="2">
        <v>44329</v>
      </c>
      <c r="F55" s="3">
        <v>0.44927083333333334</v>
      </c>
      <c r="G55" s="2">
        <v>44331</v>
      </c>
      <c r="H55" s="3">
        <v>0.60326388888888893</v>
      </c>
      <c r="I55" t="s">
        <v>437</v>
      </c>
      <c r="J55" t="s">
        <v>593</v>
      </c>
      <c r="K55">
        <v>10</v>
      </c>
      <c r="L55">
        <v>14</v>
      </c>
      <c r="M55">
        <v>2</v>
      </c>
      <c r="N55">
        <v>751</v>
      </c>
    </row>
    <row r="56" spans="1:14" x14ac:dyDescent="0.3">
      <c r="A56">
        <v>54</v>
      </c>
      <c r="B56" t="s">
        <v>257</v>
      </c>
      <c r="C56">
        <v>30</v>
      </c>
      <c r="D56">
        <v>1</v>
      </c>
      <c r="E56" s="2">
        <v>44543</v>
      </c>
      <c r="F56" s="3">
        <v>0.41320601851851851</v>
      </c>
      <c r="G56" s="2">
        <v>44545</v>
      </c>
      <c r="H56" s="3">
        <v>0.60484953703703703</v>
      </c>
      <c r="I56" t="s">
        <v>437</v>
      </c>
      <c r="J56" t="s">
        <v>588</v>
      </c>
      <c r="K56">
        <v>9</v>
      </c>
      <c r="L56">
        <v>14</v>
      </c>
      <c r="M56">
        <v>2</v>
      </c>
      <c r="N56">
        <v>751</v>
      </c>
    </row>
    <row r="57" spans="1:14" x14ac:dyDescent="0.3">
      <c r="A57">
        <v>64</v>
      </c>
      <c r="B57" t="s">
        <v>83</v>
      </c>
      <c r="C57">
        <v>25</v>
      </c>
      <c r="D57">
        <v>1</v>
      </c>
      <c r="E57" s="2">
        <v>44406</v>
      </c>
      <c r="F57" s="3">
        <v>0.11711805555555556</v>
      </c>
      <c r="G57" s="2">
        <v>44410</v>
      </c>
      <c r="H57" s="3">
        <v>0.92061342592592588</v>
      </c>
      <c r="I57" t="s">
        <v>437</v>
      </c>
      <c r="J57" t="s">
        <v>590</v>
      </c>
      <c r="K57">
        <v>2</v>
      </c>
      <c r="L57">
        <v>22</v>
      </c>
      <c r="M57">
        <v>4</v>
      </c>
      <c r="N57">
        <v>1202</v>
      </c>
    </row>
    <row r="58" spans="1:14" x14ac:dyDescent="0.3">
      <c r="A58">
        <v>68</v>
      </c>
      <c r="B58" t="s">
        <v>222</v>
      </c>
      <c r="C58">
        <v>34</v>
      </c>
      <c r="D58">
        <v>4</v>
      </c>
      <c r="E58" s="2">
        <v>44372</v>
      </c>
      <c r="F58" s="3">
        <v>0.94719907407407411</v>
      </c>
      <c r="G58" s="2">
        <v>44377</v>
      </c>
      <c r="H58" s="3">
        <v>0.8966898148148148</v>
      </c>
      <c r="I58" t="s">
        <v>429</v>
      </c>
      <c r="J58" t="s">
        <v>586</v>
      </c>
      <c r="K58">
        <v>22</v>
      </c>
      <c r="L58">
        <v>21</v>
      </c>
      <c r="M58">
        <v>5</v>
      </c>
      <c r="N58">
        <v>1335</v>
      </c>
    </row>
    <row r="59" spans="1:14" x14ac:dyDescent="0.3">
      <c r="A59">
        <v>42</v>
      </c>
      <c r="B59" t="s">
        <v>339</v>
      </c>
      <c r="C59">
        <v>35</v>
      </c>
      <c r="D59">
        <v>1</v>
      </c>
      <c r="E59" s="2">
        <v>44343</v>
      </c>
      <c r="F59" s="3">
        <v>5.9953703703703705E-3</v>
      </c>
      <c r="G59" s="2">
        <v>44345</v>
      </c>
      <c r="H59" s="3">
        <v>0.72115740740740741</v>
      </c>
      <c r="I59" t="s">
        <v>433</v>
      </c>
      <c r="J59" t="s">
        <v>593</v>
      </c>
      <c r="K59">
        <v>0</v>
      </c>
      <c r="L59">
        <v>17</v>
      </c>
      <c r="M59">
        <v>2</v>
      </c>
      <c r="N59">
        <v>1865</v>
      </c>
    </row>
    <row r="60" spans="1:14" x14ac:dyDescent="0.3">
      <c r="A60">
        <v>57</v>
      </c>
      <c r="B60" t="s">
        <v>378</v>
      </c>
      <c r="C60">
        <v>35</v>
      </c>
      <c r="D60">
        <v>5</v>
      </c>
      <c r="E60" s="2">
        <v>44388</v>
      </c>
      <c r="F60" s="3">
        <v>0.33350694444444445</v>
      </c>
      <c r="G60" s="2">
        <v>44390</v>
      </c>
      <c r="H60" s="3">
        <v>0.5191203703703704</v>
      </c>
      <c r="I60" t="s">
        <v>433</v>
      </c>
      <c r="J60" t="s">
        <v>590</v>
      </c>
      <c r="K60">
        <v>8</v>
      </c>
      <c r="L60">
        <v>12</v>
      </c>
      <c r="M60">
        <v>2</v>
      </c>
      <c r="N60">
        <v>1865</v>
      </c>
    </row>
    <row r="61" spans="1:14" x14ac:dyDescent="0.3">
      <c r="A61">
        <v>66</v>
      </c>
      <c r="B61" t="s">
        <v>91</v>
      </c>
      <c r="C61">
        <v>35</v>
      </c>
      <c r="D61">
        <v>5</v>
      </c>
      <c r="E61" s="2">
        <v>44303</v>
      </c>
      <c r="F61" s="3">
        <v>0.87550925925925926</v>
      </c>
      <c r="G61" s="2">
        <v>44306</v>
      </c>
      <c r="H61" s="3">
        <v>0.26803240740740741</v>
      </c>
      <c r="I61" t="s">
        <v>433</v>
      </c>
      <c r="J61" t="s">
        <v>592</v>
      </c>
      <c r="K61">
        <v>21</v>
      </c>
      <c r="L61">
        <v>6</v>
      </c>
      <c r="M61">
        <v>3</v>
      </c>
      <c r="N61">
        <v>1865</v>
      </c>
    </row>
    <row r="62" spans="1:14" x14ac:dyDescent="0.3">
      <c r="A62">
        <v>36</v>
      </c>
      <c r="B62" t="s">
        <v>139</v>
      </c>
      <c r="C62">
        <v>66</v>
      </c>
      <c r="D62">
        <v>1</v>
      </c>
      <c r="E62" s="2">
        <v>44521</v>
      </c>
      <c r="F62" s="3">
        <v>0.43672453703703706</v>
      </c>
      <c r="G62" s="2">
        <v>44524</v>
      </c>
      <c r="H62" s="3">
        <v>0.34362268518518518</v>
      </c>
      <c r="I62" t="s">
        <v>433</v>
      </c>
      <c r="J62" t="s">
        <v>597</v>
      </c>
      <c r="K62">
        <v>10</v>
      </c>
      <c r="L62">
        <v>8</v>
      </c>
      <c r="M62">
        <v>3</v>
      </c>
      <c r="N62">
        <v>610</v>
      </c>
    </row>
    <row r="63" spans="1:14" x14ac:dyDescent="0.3">
      <c r="A63">
        <v>58</v>
      </c>
      <c r="B63" t="s">
        <v>328</v>
      </c>
      <c r="C63">
        <v>36</v>
      </c>
      <c r="D63">
        <v>1</v>
      </c>
      <c r="E63" s="2">
        <v>44284</v>
      </c>
      <c r="F63" s="3">
        <v>0.11909722222222222</v>
      </c>
      <c r="G63" s="2">
        <v>44288</v>
      </c>
      <c r="H63" s="3">
        <v>0.35159722222222223</v>
      </c>
      <c r="I63" t="s">
        <v>433</v>
      </c>
      <c r="J63" t="s">
        <v>589</v>
      </c>
      <c r="K63">
        <v>2</v>
      </c>
      <c r="L63">
        <v>8</v>
      </c>
      <c r="M63">
        <v>4</v>
      </c>
      <c r="N63">
        <v>203</v>
      </c>
    </row>
    <row r="64" spans="1:14" x14ac:dyDescent="0.3">
      <c r="A64">
        <v>38</v>
      </c>
      <c r="B64" t="s">
        <v>288</v>
      </c>
      <c r="C64">
        <v>37</v>
      </c>
      <c r="D64">
        <v>3</v>
      </c>
      <c r="E64" s="2">
        <v>44433</v>
      </c>
      <c r="F64" s="3">
        <v>0.52115740740740746</v>
      </c>
      <c r="G64" s="2">
        <v>44436</v>
      </c>
      <c r="H64" s="3">
        <v>0.51725694444444448</v>
      </c>
      <c r="I64" t="s">
        <v>429</v>
      </c>
      <c r="J64" t="s">
        <v>596</v>
      </c>
      <c r="K64">
        <v>12</v>
      </c>
      <c r="L64">
        <v>12</v>
      </c>
      <c r="M64">
        <v>3</v>
      </c>
      <c r="N64">
        <v>1428</v>
      </c>
    </row>
    <row r="65" spans="1:14" x14ac:dyDescent="0.3">
      <c r="A65">
        <v>40</v>
      </c>
      <c r="B65" t="s">
        <v>284</v>
      </c>
      <c r="C65">
        <v>48</v>
      </c>
      <c r="D65">
        <v>4</v>
      </c>
      <c r="E65" s="2">
        <v>44467</v>
      </c>
      <c r="F65" s="3">
        <v>0.59386574074074072</v>
      </c>
      <c r="G65" s="2">
        <v>44471</v>
      </c>
      <c r="H65" s="3">
        <v>0.18743055555555554</v>
      </c>
      <c r="I65" t="s">
        <v>429</v>
      </c>
      <c r="J65" t="s">
        <v>595</v>
      </c>
      <c r="K65">
        <v>14</v>
      </c>
      <c r="L65">
        <v>4</v>
      </c>
      <c r="M65">
        <v>4</v>
      </c>
      <c r="N65">
        <v>433</v>
      </c>
    </row>
    <row r="66" spans="1:14" x14ac:dyDescent="0.3">
      <c r="A66">
        <v>41</v>
      </c>
      <c r="B66" t="s">
        <v>211</v>
      </c>
      <c r="C66">
        <v>54</v>
      </c>
      <c r="D66">
        <v>4</v>
      </c>
      <c r="E66" s="2">
        <v>44408</v>
      </c>
      <c r="F66" s="3">
        <v>0.80543981481481486</v>
      </c>
      <c r="G66" s="2">
        <v>44413</v>
      </c>
      <c r="H66" s="3">
        <v>0.60395833333333337</v>
      </c>
      <c r="I66" t="s">
        <v>437</v>
      </c>
      <c r="J66" t="s">
        <v>590</v>
      </c>
      <c r="K66">
        <v>19</v>
      </c>
      <c r="L66">
        <v>14</v>
      </c>
      <c r="M66">
        <v>5</v>
      </c>
      <c r="N66">
        <v>1236</v>
      </c>
    </row>
    <row r="67" spans="1:14" x14ac:dyDescent="0.3">
      <c r="A67">
        <v>65</v>
      </c>
      <c r="B67" t="s">
        <v>155</v>
      </c>
      <c r="C67">
        <v>54</v>
      </c>
      <c r="D67">
        <v>2</v>
      </c>
      <c r="E67" s="2">
        <v>44558</v>
      </c>
      <c r="F67" s="3">
        <v>0.5433796296296296</v>
      </c>
      <c r="G67" s="2">
        <v>44561</v>
      </c>
      <c r="H67" s="3">
        <v>0.27351851851851849</v>
      </c>
      <c r="I67" t="s">
        <v>437</v>
      </c>
      <c r="J67" t="s">
        <v>588</v>
      </c>
      <c r="K67">
        <v>13</v>
      </c>
      <c r="L67">
        <v>6</v>
      </c>
      <c r="M67">
        <v>3</v>
      </c>
      <c r="N67">
        <v>1236</v>
      </c>
    </row>
    <row r="68" spans="1:14" x14ac:dyDescent="0.3">
      <c r="A68">
        <v>43</v>
      </c>
      <c r="B68" t="s">
        <v>207</v>
      </c>
      <c r="C68">
        <v>49</v>
      </c>
      <c r="D68">
        <v>3</v>
      </c>
      <c r="E68" s="2">
        <v>44550</v>
      </c>
      <c r="F68" s="3">
        <v>0.93837962962962962</v>
      </c>
      <c r="G68" s="2">
        <v>44556</v>
      </c>
      <c r="H68" s="3">
        <v>0.11651620370370371</v>
      </c>
      <c r="I68" t="s">
        <v>591</v>
      </c>
      <c r="J68" t="s">
        <v>588</v>
      </c>
      <c r="K68">
        <v>22</v>
      </c>
      <c r="L68">
        <v>2</v>
      </c>
      <c r="M68">
        <v>6</v>
      </c>
      <c r="N68">
        <v>903</v>
      </c>
    </row>
    <row r="69" spans="1:14" x14ac:dyDescent="0.3">
      <c r="A69">
        <v>61</v>
      </c>
      <c r="B69" t="s">
        <v>253</v>
      </c>
      <c r="C69">
        <v>44</v>
      </c>
      <c r="D69">
        <v>2</v>
      </c>
      <c r="E69" s="2">
        <v>44389</v>
      </c>
      <c r="F69" s="3">
        <v>0.93501157407407409</v>
      </c>
      <c r="G69" s="2">
        <v>44392</v>
      </c>
      <c r="H69" s="3">
        <v>0.33924768518518517</v>
      </c>
      <c r="I69" t="s">
        <v>429</v>
      </c>
      <c r="J69" t="s">
        <v>590</v>
      </c>
      <c r="K69">
        <v>22</v>
      </c>
      <c r="L69">
        <v>8</v>
      </c>
      <c r="M69">
        <v>3</v>
      </c>
      <c r="N69">
        <v>794</v>
      </c>
    </row>
    <row r="70" spans="1:14" x14ac:dyDescent="0.3">
      <c r="A70">
        <v>45</v>
      </c>
      <c r="B70" t="s">
        <v>405</v>
      </c>
      <c r="C70">
        <v>61</v>
      </c>
      <c r="D70">
        <v>5</v>
      </c>
      <c r="E70" s="2">
        <v>44303</v>
      </c>
      <c r="F70" s="3">
        <v>0.60168981481481476</v>
      </c>
      <c r="G70" s="2">
        <v>44308</v>
      </c>
      <c r="H70" s="3">
        <v>0.2615277777777778</v>
      </c>
      <c r="I70" t="s">
        <v>437</v>
      </c>
      <c r="J70" t="s">
        <v>592</v>
      </c>
      <c r="K70">
        <v>14</v>
      </c>
      <c r="L70">
        <v>6</v>
      </c>
      <c r="M70">
        <v>5</v>
      </c>
      <c r="N70">
        <v>810</v>
      </c>
    </row>
    <row r="71" spans="1:14" x14ac:dyDescent="0.3">
      <c r="A71">
        <v>48</v>
      </c>
      <c r="B71" t="s">
        <v>147</v>
      </c>
      <c r="C71">
        <v>65</v>
      </c>
      <c r="D71">
        <v>4</v>
      </c>
      <c r="E71" s="2">
        <v>44249</v>
      </c>
      <c r="F71" s="3">
        <v>0.83368055555555554</v>
      </c>
      <c r="G71" s="2">
        <v>44253</v>
      </c>
      <c r="H71" s="3">
        <v>0.23034722222222223</v>
      </c>
      <c r="I71" t="s">
        <v>594</v>
      </c>
      <c r="J71" t="s">
        <v>599</v>
      </c>
      <c r="K71">
        <v>20</v>
      </c>
      <c r="L71">
        <v>5</v>
      </c>
      <c r="M71">
        <v>4</v>
      </c>
      <c r="N71">
        <v>1895</v>
      </c>
    </row>
    <row r="72" spans="1:14" x14ac:dyDescent="0.3">
      <c r="A72">
        <v>59</v>
      </c>
      <c r="B72" t="s">
        <v>187</v>
      </c>
      <c r="C72">
        <v>51</v>
      </c>
      <c r="D72">
        <v>5</v>
      </c>
      <c r="E72" s="2">
        <v>44559</v>
      </c>
      <c r="F72" s="3">
        <v>0.1640625</v>
      </c>
      <c r="G72" s="2">
        <v>44565</v>
      </c>
      <c r="H72" s="3">
        <v>0.84032407407407406</v>
      </c>
      <c r="I72" t="s">
        <v>594</v>
      </c>
      <c r="J72" t="s">
        <v>588</v>
      </c>
      <c r="K72">
        <v>3</v>
      </c>
      <c r="L72">
        <v>20</v>
      </c>
      <c r="M72">
        <v>6</v>
      </c>
      <c r="N72">
        <v>1084</v>
      </c>
    </row>
    <row r="73" spans="1:14" x14ac:dyDescent="0.3">
      <c r="A73">
        <v>72</v>
      </c>
      <c r="B73" t="s">
        <v>253</v>
      </c>
      <c r="C73">
        <v>26</v>
      </c>
      <c r="D73">
        <v>3</v>
      </c>
      <c r="E73" s="2">
        <v>44357</v>
      </c>
      <c r="F73" s="3">
        <v>0.65932870370370367</v>
      </c>
      <c r="G73" s="2">
        <v>44360</v>
      </c>
      <c r="H73" s="3">
        <v>0.73206018518518523</v>
      </c>
      <c r="I73" t="s">
        <v>433</v>
      </c>
      <c r="J73" t="s">
        <v>586</v>
      </c>
      <c r="K73">
        <v>15</v>
      </c>
      <c r="L73">
        <v>17</v>
      </c>
      <c r="M73">
        <v>3</v>
      </c>
      <c r="N73">
        <v>289</v>
      </c>
    </row>
    <row r="74" spans="1:14" x14ac:dyDescent="0.3">
      <c r="A74">
        <v>73</v>
      </c>
      <c r="B74" t="s">
        <v>250</v>
      </c>
      <c r="C74">
        <v>26</v>
      </c>
      <c r="D74">
        <v>1</v>
      </c>
      <c r="E74" s="2">
        <v>44345</v>
      </c>
      <c r="F74" s="3">
        <v>0.53652777777777783</v>
      </c>
      <c r="G74" s="2">
        <v>44350</v>
      </c>
      <c r="H74" s="3">
        <v>6.1527777777777778E-2</v>
      </c>
      <c r="I74" t="s">
        <v>433</v>
      </c>
      <c r="J74" t="s">
        <v>593</v>
      </c>
      <c r="K74">
        <v>12</v>
      </c>
      <c r="L74">
        <v>1</v>
      </c>
      <c r="M74">
        <v>5</v>
      </c>
      <c r="N74">
        <v>289</v>
      </c>
    </row>
    <row r="75" spans="1:14" x14ac:dyDescent="0.3">
      <c r="A75">
        <v>74</v>
      </c>
      <c r="B75" t="s">
        <v>119</v>
      </c>
      <c r="C75">
        <v>31</v>
      </c>
      <c r="D75">
        <v>3</v>
      </c>
      <c r="E75" s="2">
        <v>44211</v>
      </c>
      <c r="F75" s="3">
        <v>0.87178240740740742</v>
      </c>
      <c r="G75" s="2">
        <v>44216</v>
      </c>
      <c r="H75" s="3">
        <v>0.37642361111111111</v>
      </c>
      <c r="I75" t="s">
        <v>594</v>
      </c>
      <c r="J75" t="s">
        <v>598</v>
      </c>
      <c r="K75">
        <v>20</v>
      </c>
      <c r="L75">
        <v>9</v>
      </c>
      <c r="M75">
        <v>5</v>
      </c>
      <c r="N75">
        <v>1804</v>
      </c>
    </row>
    <row r="76" spans="1:14" x14ac:dyDescent="0.3">
      <c r="A76">
        <v>75</v>
      </c>
      <c r="B76" t="s">
        <v>58</v>
      </c>
      <c r="C76">
        <v>65</v>
      </c>
      <c r="D76">
        <v>2</v>
      </c>
      <c r="E76" s="2">
        <v>44405</v>
      </c>
      <c r="F76" s="3">
        <v>0.46555555555555556</v>
      </c>
      <c r="G76" s="2">
        <v>44407</v>
      </c>
      <c r="H76" s="3">
        <v>0.9587268518518518</v>
      </c>
      <c r="I76" t="s">
        <v>594</v>
      </c>
      <c r="J76" t="s">
        <v>590</v>
      </c>
      <c r="K76">
        <v>11</v>
      </c>
      <c r="L76">
        <v>23</v>
      </c>
      <c r="M76">
        <v>2</v>
      </c>
      <c r="N76">
        <v>1895</v>
      </c>
    </row>
    <row r="77" spans="1:14" x14ac:dyDescent="0.3">
      <c r="A77">
        <v>76</v>
      </c>
      <c r="B77" t="s">
        <v>238</v>
      </c>
      <c r="C77">
        <v>4</v>
      </c>
      <c r="D77">
        <v>1</v>
      </c>
      <c r="E77" s="2">
        <v>44258</v>
      </c>
      <c r="F77" s="3">
        <v>0.21748842592592593</v>
      </c>
      <c r="G77" s="2">
        <v>44264</v>
      </c>
      <c r="H77" s="3">
        <v>2.4189814814814813E-2</v>
      </c>
      <c r="I77" t="s">
        <v>429</v>
      </c>
      <c r="J77" t="s">
        <v>589</v>
      </c>
      <c r="K77">
        <v>5</v>
      </c>
      <c r="L77">
        <v>0</v>
      </c>
      <c r="M77">
        <v>6</v>
      </c>
      <c r="N77">
        <v>1199</v>
      </c>
    </row>
    <row r="78" spans="1:14" x14ac:dyDescent="0.3">
      <c r="A78">
        <v>77</v>
      </c>
      <c r="B78" t="s">
        <v>135</v>
      </c>
      <c r="C78">
        <v>42</v>
      </c>
      <c r="D78">
        <v>3</v>
      </c>
      <c r="E78" s="2">
        <v>44476</v>
      </c>
      <c r="F78" s="3">
        <v>4.6655092592592595E-2</v>
      </c>
      <c r="G78" s="2">
        <v>44478</v>
      </c>
      <c r="H78" s="3">
        <v>0.68115740740740738</v>
      </c>
      <c r="I78" t="s">
        <v>594</v>
      </c>
      <c r="J78" t="s">
        <v>587</v>
      </c>
      <c r="K78">
        <v>1</v>
      </c>
      <c r="L78">
        <v>16</v>
      </c>
      <c r="M78">
        <v>2</v>
      </c>
      <c r="N78">
        <v>1744</v>
      </c>
    </row>
    <row r="79" spans="1:14" x14ac:dyDescent="0.3">
      <c r="A79">
        <v>78</v>
      </c>
      <c r="B79" t="s">
        <v>269</v>
      </c>
      <c r="C79">
        <v>11</v>
      </c>
      <c r="D79">
        <v>2</v>
      </c>
      <c r="E79" s="2">
        <v>44283</v>
      </c>
      <c r="F79" s="3">
        <v>0.54177083333333331</v>
      </c>
      <c r="G79" s="2">
        <v>44288</v>
      </c>
      <c r="H79" s="3">
        <v>0.85503472222222221</v>
      </c>
      <c r="I79" t="s">
        <v>591</v>
      </c>
      <c r="J79" t="s">
        <v>589</v>
      </c>
      <c r="K79">
        <v>13</v>
      </c>
      <c r="L79">
        <v>20</v>
      </c>
      <c r="M79">
        <v>5</v>
      </c>
      <c r="N79">
        <v>1096</v>
      </c>
    </row>
    <row r="80" spans="1:14" x14ac:dyDescent="0.3">
      <c r="A80">
        <v>79</v>
      </c>
      <c r="B80" t="s">
        <v>62</v>
      </c>
      <c r="C80">
        <v>40</v>
      </c>
      <c r="D80">
        <v>2</v>
      </c>
      <c r="E80" s="2">
        <v>44548</v>
      </c>
      <c r="F80" s="3">
        <v>0.72881944444444446</v>
      </c>
      <c r="G80" s="2">
        <v>44554</v>
      </c>
      <c r="H80" s="3">
        <v>0.31589120370370372</v>
      </c>
      <c r="I80" t="s">
        <v>437</v>
      </c>
      <c r="J80" t="s">
        <v>588</v>
      </c>
      <c r="K80">
        <v>17</v>
      </c>
      <c r="L80">
        <v>7</v>
      </c>
      <c r="M80">
        <v>6</v>
      </c>
      <c r="N80">
        <v>1923</v>
      </c>
    </row>
    <row r="81" spans="1:14" x14ac:dyDescent="0.3">
      <c r="A81">
        <v>80</v>
      </c>
      <c r="B81" t="s">
        <v>53</v>
      </c>
      <c r="C81">
        <v>39</v>
      </c>
      <c r="D81">
        <v>4</v>
      </c>
      <c r="E81" s="2">
        <v>44313</v>
      </c>
      <c r="F81" s="3">
        <v>0.4632175925925926</v>
      </c>
      <c r="G81" s="2">
        <v>44317</v>
      </c>
      <c r="H81" s="3">
        <v>8.7384259259259259E-2</v>
      </c>
      <c r="I81" t="s">
        <v>594</v>
      </c>
      <c r="J81" t="s">
        <v>592</v>
      </c>
      <c r="K81">
        <v>11</v>
      </c>
      <c r="L81">
        <v>2</v>
      </c>
      <c r="M81">
        <v>4</v>
      </c>
      <c r="N81">
        <v>387</v>
      </c>
    </row>
    <row r="82" spans="1:14" x14ac:dyDescent="0.3">
      <c r="A82">
        <v>81</v>
      </c>
      <c r="B82" t="s">
        <v>234</v>
      </c>
      <c r="C82">
        <v>1</v>
      </c>
      <c r="D82">
        <v>5</v>
      </c>
      <c r="E82" s="2">
        <v>44235</v>
      </c>
      <c r="F82" s="3">
        <v>0.77038194444444441</v>
      </c>
      <c r="G82" s="2">
        <v>44237</v>
      </c>
      <c r="H82" s="3">
        <v>0.29828703703703702</v>
      </c>
      <c r="I82" t="s">
        <v>594</v>
      </c>
      <c r="J82" t="s">
        <v>599</v>
      </c>
      <c r="K82">
        <v>18</v>
      </c>
      <c r="L82">
        <v>7</v>
      </c>
      <c r="M82">
        <v>2</v>
      </c>
      <c r="N82">
        <v>1935</v>
      </c>
    </row>
    <row r="83" spans="1:14" x14ac:dyDescent="0.3">
      <c r="A83">
        <v>82</v>
      </c>
      <c r="B83" t="s">
        <v>175</v>
      </c>
      <c r="C83">
        <v>70</v>
      </c>
      <c r="D83">
        <v>3</v>
      </c>
      <c r="E83" s="2">
        <v>44238</v>
      </c>
      <c r="F83" s="3">
        <v>0.91811342592592593</v>
      </c>
      <c r="G83" s="2">
        <v>44244</v>
      </c>
      <c r="H83" s="3">
        <v>0.58903935185185186</v>
      </c>
      <c r="I83" t="s">
        <v>433</v>
      </c>
      <c r="J83" t="s">
        <v>599</v>
      </c>
      <c r="K83">
        <v>22</v>
      </c>
      <c r="L83">
        <v>14</v>
      </c>
      <c r="M83">
        <v>6</v>
      </c>
      <c r="N83">
        <v>866</v>
      </c>
    </row>
    <row r="84" spans="1:14" x14ac:dyDescent="0.3">
      <c r="A84">
        <v>83</v>
      </c>
      <c r="B84" t="s">
        <v>167</v>
      </c>
      <c r="C84">
        <v>27</v>
      </c>
      <c r="D84">
        <v>4</v>
      </c>
      <c r="E84" s="2">
        <v>44343</v>
      </c>
      <c r="F84" s="3">
        <v>0.80001157407407408</v>
      </c>
      <c r="G84" s="2">
        <v>44348</v>
      </c>
      <c r="H84" s="3">
        <v>0.61388888888888893</v>
      </c>
      <c r="I84" t="s">
        <v>429</v>
      </c>
      <c r="J84" t="s">
        <v>593</v>
      </c>
      <c r="K84">
        <v>19</v>
      </c>
      <c r="L84">
        <v>14</v>
      </c>
      <c r="M84">
        <v>5</v>
      </c>
      <c r="N84">
        <v>548</v>
      </c>
    </row>
    <row r="85" spans="1:14" x14ac:dyDescent="0.3">
      <c r="A85">
        <v>84</v>
      </c>
      <c r="B85" t="s">
        <v>151</v>
      </c>
      <c r="C85">
        <v>47</v>
      </c>
      <c r="D85">
        <v>1</v>
      </c>
      <c r="E85" s="2">
        <v>44498</v>
      </c>
      <c r="F85" s="3">
        <v>0.14710648148148148</v>
      </c>
      <c r="G85" s="2">
        <v>44504</v>
      </c>
      <c r="H85" s="3">
        <v>0.29328703703703701</v>
      </c>
      <c r="I85" t="s">
        <v>433</v>
      </c>
      <c r="J85" t="s">
        <v>587</v>
      </c>
      <c r="K85">
        <v>3</v>
      </c>
      <c r="L85">
        <v>7</v>
      </c>
      <c r="M85">
        <v>6</v>
      </c>
      <c r="N85">
        <v>1638</v>
      </c>
    </row>
    <row r="86" spans="1:14" x14ac:dyDescent="0.3">
      <c r="A86">
        <v>85</v>
      </c>
      <c r="B86" t="s">
        <v>187</v>
      </c>
      <c r="C86">
        <v>26</v>
      </c>
      <c r="D86">
        <v>2</v>
      </c>
      <c r="E86" s="2">
        <v>44468</v>
      </c>
      <c r="F86" s="3">
        <v>0.89953703703703702</v>
      </c>
      <c r="G86" s="2">
        <v>44472</v>
      </c>
      <c r="H86" s="3">
        <v>0.61692129629629633</v>
      </c>
      <c r="I86" t="s">
        <v>433</v>
      </c>
      <c r="J86" t="s">
        <v>595</v>
      </c>
      <c r="K86">
        <v>21</v>
      </c>
      <c r="L86">
        <v>14</v>
      </c>
      <c r="M86">
        <v>4</v>
      </c>
      <c r="N86">
        <v>289</v>
      </c>
    </row>
    <row r="87" spans="1:14" x14ac:dyDescent="0.3">
      <c r="A87">
        <v>86</v>
      </c>
      <c r="B87" t="s">
        <v>207</v>
      </c>
      <c r="C87">
        <v>39</v>
      </c>
      <c r="D87">
        <v>4</v>
      </c>
      <c r="E87" s="2">
        <v>44489</v>
      </c>
      <c r="F87" s="3">
        <v>0.47765046296296299</v>
      </c>
      <c r="G87" s="2">
        <v>44494</v>
      </c>
      <c r="H87" s="3">
        <v>0.58993055555555551</v>
      </c>
      <c r="I87" t="s">
        <v>594</v>
      </c>
      <c r="J87" t="s">
        <v>587</v>
      </c>
      <c r="K87">
        <v>11</v>
      </c>
      <c r="L87">
        <v>14</v>
      </c>
      <c r="M87">
        <v>5</v>
      </c>
      <c r="N87">
        <v>387</v>
      </c>
    </row>
    <row r="88" spans="1:14" x14ac:dyDescent="0.3">
      <c r="A88">
        <v>87</v>
      </c>
      <c r="B88" t="s">
        <v>242</v>
      </c>
      <c r="C88">
        <v>2</v>
      </c>
      <c r="D88">
        <v>5</v>
      </c>
      <c r="E88" s="2">
        <v>44491</v>
      </c>
      <c r="F88" s="3">
        <v>0.55371527777777774</v>
      </c>
      <c r="G88" s="2">
        <v>44497</v>
      </c>
      <c r="H88" s="3">
        <v>0.96291666666666664</v>
      </c>
      <c r="I88" t="s">
        <v>591</v>
      </c>
      <c r="J88" t="s">
        <v>587</v>
      </c>
      <c r="K88">
        <v>13</v>
      </c>
      <c r="L88">
        <v>23</v>
      </c>
      <c r="M88">
        <v>6</v>
      </c>
      <c r="N88">
        <v>441</v>
      </c>
    </row>
    <row r="89" spans="1:14" x14ac:dyDescent="0.3">
      <c r="A89">
        <v>88</v>
      </c>
      <c r="B89" t="s">
        <v>53</v>
      </c>
      <c r="C89">
        <v>15</v>
      </c>
      <c r="D89">
        <v>4</v>
      </c>
      <c r="E89" s="2">
        <v>44382</v>
      </c>
      <c r="F89" s="3">
        <v>0.41841435185185183</v>
      </c>
      <c r="G89" s="2">
        <v>44386</v>
      </c>
      <c r="H89" s="3">
        <v>0.51244212962962965</v>
      </c>
      <c r="I89" t="s">
        <v>437</v>
      </c>
      <c r="J89" t="s">
        <v>590</v>
      </c>
      <c r="K89">
        <v>10</v>
      </c>
      <c r="L89">
        <v>12</v>
      </c>
      <c r="M89">
        <v>4</v>
      </c>
      <c r="N89">
        <v>1488</v>
      </c>
    </row>
    <row r="90" spans="1:14" x14ac:dyDescent="0.3">
      <c r="A90">
        <v>89</v>
      </c>
      <c r="B90" t="s">
        <v>261</v>
      </c>
      <c r="C90">
        <v>3</v>
      </c>
      <c r="D90">
        <v>5</v>
      </c>
      <c r="E90" s="2">
        <v>44455</v>
      </c>
      <c r="F90" s="3">
        <v>0.9561574074074074</v>
      </c>
      <c r="G90" s="2">
        <v>44461</v>
      </c>
      <c r="H90" s="3">
        <v>0.61228009259259264</v>
      </c>
      <c r="I90" t="s">
        <v>591</v>
      </c>
      <c r="J90" t="s">
        <v>595</v>
      </c>
      <c r="K90">
        <v>22</v>
      </c>
      <c r="L90">
        <v>14</v>
      </c>
      <c r="M90">
        <v>6</v>
      </c>
      <c r="N90">
        <v>1534</v>
      </c>
    </row>
    <row r="91" spans="1:14" x14ac:dyDescent="0.3">
      <c r="A91">
        <v>90</v>
      </c>
      <c r="B91" t="s">
        <v>371</v>
      </c>
      <c r="C91">
        <v>41</v>
      </c>
      <c r="D91">
        <v>3</v>
      </c>
      <c r="E91" s="2">
        <v>44521</v>
      </c>
      <c r="F91" s="3">
        <v>0.87101851851851853</v>
      </c>
      <c r="G91" s="2">
        <v>44527</v>
      </c>
      <c r="H91" s="3">
        <v>0.74207175925925928</v>
      </c>
      <c r="I91" t="s">
        <v>429</v>
      </c>
      <c r="J91" t="s">
        <v>597</v>
      </c>
      <c r="K91">
        <v>20</v>
      </c>
      <c r="L91">
        <v>17</v>
      </c>
      <c r="M91">
        <v>6</v>
      </c>
      <c r="N91">
        <v>1977</v>
      </c>
    </row>
    <row r="92" spans="1:14" x14ac:dyDescent="0.3">
      <c r="A92">
        <v>91</v>
      </c>
      <c r="B92" t="s">
        <v>265</v>
      </c>
      <c r="C92">
        <v>6</v>
      </c>
      <c r="D92">
        <v>2</v>
      </c>
      <c r="E92" s="2">
        <v>44519</v>
      </c>
      <c r="F92" s="3">
        <v>0.5784259259259259</v>
      </c>
      <c r="G92" s="2">
        <v>44524</v>
      </c>
      <c r="H92" s="3">
        <v>0.55792824074074077</v>
      </c>
      <c r="I92" t="s">
        <v>433</v>
      </c>
      <c r="J92" t="s">
        <v>597</v>
      </c>
      <c r="K92">
        <v>13</v>
      </c>
      <c r="L92">
        <v>13</v>
      </c>
      <c r="M92">
        <v>5</v>
      </c>
      <c r="N92">
        <v>1112</v>
      </c>
    </row>
    <row r="93" spans="1:14" x14ac:dyDescent="0.3">
      <c r="A93">
        <v>92</v>
      </c>
      <c r="B93" t="s">
        <v>417</v>
      </c>
      <c r="C93">
        <v>18</v>
      </c>
      <c r="D93">
        <v>5</v>
      </c>
      <c r="E93" s="2">
        <v>44461</v>
      </c>
      <c r="F93" s="3">
        <v>7.8472222222222224E-3</v>
      </c>
      <c r="G93" s="2">
        <v>44467</v>
      </c>
      <c r="H93" s="3">
        <v>0.47077546296296297</v>
      </c>
      <c r="I93" t="s">
        <v>433</v>
      </c>
      <c r="J93" t="s">
        <v>595</v>
      </c>
      <c r="K93">
        <v>0</v>
      </c>
      <c r="L93">
        <v>11</v>
      </c>
      <c r="M93">
        <v>6</v>
      </c>
      <c r="N93">
        <v>781</v>
      </c>
    </row>
    <row r="94" spans="1:14" x14ac:dyDescent="0.3">
      <c r="A94">
        <v>93</v>
      </c>
      <c r="B94" t="s">
        <v>211</v>
      </c>
      <c r="C94">
        <v>24</v>
      </c>
      <c r="D94">
        <v>4</v>
      </c>
      <c r="E94" s="2">
        <v>44528</v>
      </c>
      <c r="F94" s="3">
        <v>0.74373842592592587</v>
      </c>
      <c r="G94" s="2">
        <v>44532</v>
      </c>
      <c r="H94" s="3">
        <v>0.77495370370370376</v>
      </c>
      <c r="I94" t="s">
        <v>433</v>
      </c>
      <c r="J94" t="s">
        <v>597</v>
      </c>
      <c r="K94">
        <v>17</v>
      </c>
      <c r="L94">
        <v>18</v>
      </c>
      <c r="M94">
        <v>4</v>
      </c>
      <c r="N94">
        <v>535</v>
      </c>
    </row>
    <row r="95" spans="1:14" x14ac:dyDescent="0.3">
      <c r="A95">
        <v>94</v>
      </c>
      <c r="B95" t="s">
        <v>413</v>
      </c>
      <c r="C95">
        <v>69</v>
      </c>
      <c r="D95">
        <v>5</v>
      </c>
      <c r="E95" s="2">
        <v>44404</v>
      </c>
      <c r="F95" s="3">
        <v>0.61884259259259256</v>
      </c>
      <c r="G95" s="2">
        <v>44410</v>
      </c>
      <c r="H95" s="3">
        <v>0.34362268518518518</v>
      </c>
      <c r="I95" t="s">
        <v>433</v>
      </c>
      <c r="J95" t="s">
        <v>590</v>
      </c>
      <c r="K95">
        <v>14</v>
      </c>
      <c r="L95">
        <v>8</v>
      </c>
      <c r="M95">
        <v>6</v>
      </c>
      <c r="N95">
        <v>998</v>
      </c>
    </row>
    <row r="96" spans="1:14" x14ac:dyDescent="0.3">
      <c r="A96">
        <v>95</v>
      </c>
      <c r="B96" t="s">
        <v>179</v>
      </c>
      <c r="C96">
        <v>70</v>
      </c>
      <c r="D96">
        <v>4</v>
      </c>
      <c r="E96" s="2">
        <v>44470</v>
      </c>
      <c r="F96" s="3">
        <v>0.3296412037037037</v>
      </c>
      <c r="G96" s="2">
        <v>44476</v>
      </c>
      <c r="H96" s="3">
        <v>0.30315972222222221</v>
      </c>
      <c r="I96" t="s">
        <v>433</v>
      </c>
      <c r="J96" t="s">
        <v>587</v>
      </c>
      <c r="K96">
        <v>7</v>
      </c>
      <c r="L96">
        <v>7</v>
      </c>
      <c r="M96">
        <v>6</v>
      </c>
      <c r="N96">
        <v>866</v>
      </c>
    </row>
    <row r="97" spans="1:14" x14ac:dyDescent="0.3">
      <c r="A97">
        <v>96</v>
      </c>
      <c r="B97" t="s">
        <v>413</v>
      </c>
      <c r="C97">
        <v>25</v>
      </c>
      <c r="D97">
        <v>3</v>
      </c>
      <c r="E97" s="2">
        <v>44346</v>
      </c>
      <c r="F97" s="3">
        <v>0.62524305555555559</v>
      </c>
      <c r="G97" s="2">
        <v>44350</v>
      </c>
      <c r="H97" s="3">
        <v>0.37229166666666669</v>
      </c>
      <c r="I97" t="s">
        <v>437</v>
      </c>
      <c r="J97" t="s">
        <v>593</v>
      </c>
      <c r="K97">
        <v>15</v>
      </c>
      <c r="L97">
        <v>8</v>
      </c>
      <c r="M97">
        <v>4</v>
      </c>
      <c r="N97">
        <v>1202</v>
      </c>
    </row>
    <row r="98" spans="1:14" x14ac:dyDescent="0.3">
      <c r="A98">
        <v>97</v>
      </c>
      <c r="B98" t="s">
        <v>187</v>
      </c>
      <c r="C98">
        <v>41</v>
      </c>
      <c r="D98">
        <v>1</v>
      </c>
      <c r="E98" s="2">
        <v>44221</v>
      </c>
      <c r="F98" s="3">
        <v>0.84134259259259259</v>
      </c>
      <c r="G98" s="2">
        <v>44223</v>
      </c>
      <c r="H98" s="3">
        <v>6.626157407407407E-2</v>
      </c>
      <c r="I98" t="s">
        <v>429</v>
      </c>
      <c r="J98" t="s">
        <v>598</v>
      </c>
      <c r="K98">
        <v>20</v>
      </c>
      <c r="L98">
        <v>1</v>
      </c>
      <c r="M98">
        <v>2</v>
      </c>
      <c r="N98">
        <v>1977</v>
      </c>
    </row>
    <row r="99" spans="1:14" x14ac:dyDescent="0.3">
      <c r="A99">
        <v>98</v>
      </c>
      <c r="B99" t="s">
        <v>147</v>
      </c>
      <c r="C99">
        <v>8</v>
      </c>
      <c r="D99">
        <v>1</v>
      </c>
      <c r="E99" s="2">
        <v>44234</v>
      </c>
      <c r="F99" s="3">
        <v>0.6430555555555556</v>
      </c>
      <c r="G99" s="2">
        <v>44239</v>
      </c>
      <c r="H99" s="3">
        <v>0.69060185185185186</v>
      </c>
      <c r="I99" t="s">
        <v>437</v>
      </c>
      <c r="J99" t="s">
        <v>599</v>
      </c>
      <c r="K99">
        <v>15</v>
      </c>
      <c r="L99">
        <v>16</v>
      </c>
      <c r="M99">
        <v>5</v>
      </c>
      <c r="N99">
        <v>252</v>
      </c>
    </row>
    <row r="100" spans="1:14" x14ac:dyDescent="0.3">
      <c r="A100">
        <v>99</v>
      </c>
      <c r="B100" t="s">
        <v>222</v>
      </c>
      <c r="C100">
        <v>38</v>
      </c>
      <c r="D100">
        <v>3</v>
      </c>
      <c r="E100" s="2">
        <v>44293</v>
      </c>
      <c r="F100" s="3">
        <v>0.58386574074074071</v>
      </c>
      <c r="G100" s="2">
        <v>44296</v>
      </c>
      <c r="H100" s="3">
        <v>0.65599537037037037</v>
      </c>
      <c r="I100" t="s">
        <v>433</v>
      </c>
      <c r="J100" t="s">
        <v>592</v>
      </c>
      <c r="K100">
        <v>14</v>
      </c>
      <c r="L100">
        <v>15</v>
      </c>
      <c r="M100">
        <v>3</v>
      </c>
      <c r="N100">
        <v>562</v>
      </c>
    </row>
    <row r="101" spans="1:14" x14ac:dyDescent="0.3">
      <c r="A101">
        <v>100</v>
      </c>
      <c r="B101" t="s">
        <v>242</v>
      </c>
      <c r="C101">
        <v>42</v>
      </c>
      <c r="D101">
        <v>5</v>
      </c>
      <c r="E101" s="2">
        <v>44490</v>
      </c>
      <c r="F101" s="3">
        <v>0.24313657407407407</v>
      </c>
      <c r="G101" s="2">
        <v>44495</v>
      </c>
      <c r="H101" s="3">
        <v>0.22946759259259258</v>
      </c>
      <c r="I101" t="s">
        <v>594</v>
      </c>
      <c r="J101" t="s">
        <v>587</v>
      </c>
      <c r="K101">
        <v>5</v>
      </c>
      <c r="L101">
        <v>5</v>
      </c>
      <c r="M101">
        <v>5</v>
      </c>
      <c r="N101">
        <v>1744</v>
      </c>
    </row>
    <row r="102" spans="1:14" x14ac:dyDescent="0.3">
      <c r="A102">
        <v>101</v>
      </c>
      <c r="B102" t="s">
        <v>277</v>
      </c>
      <c r="C102">
        <v>70</v>
      </c>
      <c r="D102">
        <v>4</v>
      </c>
      <c r="E102" s="2">
        <v>44373</v>
      </c>
      <c r="F102" s="3">
        <v>0.16449074074074074</v>
      </c>
      <c r="G102" s="2">
        <v>44375</v>
      </c>
      <c r="H102" s="3">
        <v>0.26292824074074073</v>
      </c>
      <c r="I102" t="s">
        <v>433</v>
      </c>
      <c r="J102" t="s">
        <v>586</v>
      </c>
      <c r="K102">
        <v>3</v>
      </c>
      <c r="L102">
        <v>6</v>
      </c>
      <c r="M102">
        <v>2</v>
      </c>
      <c r="N102">
        <v>866</v>
      </c>
    </row>
    <row r="103" spans="1:14" x14ac:dyDescent="0.3">
      <c r="A103">
        <v>102</v>
      </c>
      <c r="B103" t="s">
        <v>343</v>
      </c>
      <c r="C103">
        <v>10</v>
      </c>
      <c r="D103">
        <v>3</v>
      </c>
      <c r="E103" s="2">
        <v>44208</v>
      </c>
      <c r="F103" s="3">
        <v>0.81543981481481487</v>
      </c>
      <c r="G103" s="2">
        <v>44210</v>
      </c>
      <c r="H103" s="3">
        <v>0.29623842592592592</v>
      </c>
      <c r="I103" t="s">
        <v>433</v>
      </c>
      <c r="J103" t="s">
        <v>598</v>
      </c>
      <c r="K103">
        <v>19</v>
      </c>
      <c r="L103">
        <v>7</v>
      </c>
      <c r="M103">
        <v>2</v>
      </c>
      <c r="N103">
        <v>259</v>
      </c>
    </row>
    <row r="104" spans="1:14" x14ac:dyDescent="0.3">
      <c r="A104">
        <v>103</v>
      </c>
      <c r="B104" t="s">
        <v>405</v>
      </c>
      <c r="C104">
        <v>18</v>
      </c>
      <c r="D104">
        <v>3</v>
      </c>
      <c r="E104" s="2">
        <v>44376</v>
      </c>
      <c r="F104" s="3">
        <v>0.51734953703703701</v>
      </c>
      <c r="G104" s="2">
        <v>44378</v>
      </c>
      <c r="H104" s="3">
        <v>0.95253472222222224</v>
      </c>
      <c r="I104" t="s">
        <v>433</v>
      </c>
      <c r="J104" t="s">
        <v>586</v>
      </c>
      <c r="K104">
        <v>12</v>
      </c>
      <c r="L104">
        <v>22</v>
      </c>
      <c r="M104">
        <v>2</v>
      </c>
      <c r="N104">
        <v>781</v>
      </c>
    </row>
    <row r="105" spans="1:14" x14ac:dyDescent="0.3">
      <c r="A105">
        <v>104</v>
      </c>
      <c r="B105" t="s">
        <v>347</v>
      </c>
      <c r="C105">
        <v>51</v>
      </c>
      <c r="D105">
        <v>3</v>
      </c>
      <c r="E105" s="2">
        <v>44351</v>
      </c>
      <c r="F105" s="3">
        <v>7.3252314814814812E-2</v>
      </c>
      <c r="G105" s="2">
        <v>44353</v>
      </c>
      <c r="H105" s="3">
        <v>1.074074074074074E-2</v>
      </c>
      <c r="I105" t="s">
        <v>594</v>
      </c>
      <c r="J105" t="s">
        <v>586</v>
      </c>
      <c r="K105">
        <v>1</v>
      </c>
      <c r="L105">
        <v>0</v>
      </c>
      <c r="M105">
        <v>2</v>
      </c>
      <c r="N105">
        <v>1084</v>
      </c>
    </row>
    <row r="106" spans="1:14" x14ac:dyDescent="0.3">
      <c r="A106">
        <v>105</v>
      </c>
      <c r="B106" t="s">
        <v>273</v>
      </c>
      <c r="C106">
        <v>36</v>
      </c>
      <c r="D106">
        <v>2</v>
      </c>
      <c r="E106" s="2">
        <v>44395</v>
      </c>
      <c r="F106" s="3">
        <v>0.12333333333333334</v>
      </c>
      <c r="G106" s="2">
        <v>44401</v>
      </c>
      <c r="H106" s="3">
        <v>6.5393518518518517E-2</v>
      </c>
      <c r="I106" t="s">
        <v>433</v>
      </c>
      <c r="J106" t="s">
        <v>590</v>
      </c>
      <c r="K106">
        <v>2</v>
      </c>
      <c r="L106">
        <v>1</v>
      </c>
      <c r="M106">
        <v>6</v>
      </c>
      <c r="N106">
        <v>203</v>
      </c>
    </row>
    <row r="107" spans="1:14" x14ac:dyDescent="0.3">
      <c r="A107">
        <v>106</v>
      </c>
      <c r="B107" t="s">
        <v>397</v>
      </c>
      <c r="C107">
        <v>41</v>
      </c>
      <c r="D107">
        <v>2</v>
      </c>
      <c r="E107" s="2">
        <v>44252</v>
      </c>
      <c r="F107" s="3">
        <v>0.74706018518518513</v>
      </c>
      <c r="G107" s="2">
        <v>44255</v>
      </c>
      <c r="H107" s="3">
        <v>0.95865740740740746</v>
      </c>
      <c r="I107" t="s">
        <v>429</v>
      </c>
      <c r="J107" t="s">
        <v>599</v>
      </c>
      <c r="K107">
        <v>17</v>
      </c>
      <c r="L107">
        <v>23</v>
      </c>
      <c r="M107">
        <v>3</v>
      </c>
      <c r="N107">
        <v>1977</v>
      </c>
    </row>
    <row r="108" spans="1:14" x14ac:dyDescent="0.3">
      <c r="A108">
        <v>107</v>
      </c>
      <c r="B108" t="s">
        <v>187</v>
      </c>
      <c r="C108">
        <v>4</v>
      </c>
      <c r="D108">
        <v>3</v>
      </c>
      <c r="E108" s="2">
        <v>44243</v>
      </c>
      <c r="F108" s="3">
        <v>0.42924768518518519</v>
      </c>
      <c r="G108" s="2">
        <v>44249</v>
      </c>
      <c r="H108" s="3">
        <v>0.5974652777777778</v>
      </c>
      <c r="I108" t="s">
        <v>429</v>
      </c>
      <c r="J108" t="s">
        <v>599</v>
      </c>
      <c r="K108">
        <v>10</v>
      </c>
      <c r="L108">
        <v>14</v>
      </c>
      <c r="M108">
        <v>6</v>
      </c>
      <c r="N108">
        <v>1199</v>
      </c>
    </row>
    <row r="109" spans="1:14" x14ac:dyDescent="0.3">
      <c r="A109">
        <v>108</v>
      </c>
      <c r="B109" t="s">
        <v>70</v>
      </c>
      <c r="C109">
        <v>26</v>
      </c>
      <c r="D109">
        <v>4</v>
      </c>
      <c r="E109" s="2">
        <v>44479</v>
      </c>
      <c r="F109" s="3">
        <v>0.37738425925925928</v>
      </c>
      <c r="G109" s="2">
        <v>44481</v>
      </c>
      <c r="H109" s="3">
        <v>0.33547453703703706</v>
      </c>
      <c r="I109" t="s">
        <v>433</v>
      </c>
      <c r="J109" t="s">
        <v>587</v>
      </c>
      <c r="K109">
        <v>9</v>
      </c>
      <c r="L109">
        <v>8</v>
      </c>
      <c r="M109">
        <v>2</v>
      </c>
      <c r="N109">
        <v>289</v>
      </c>
    </row>
    <row r="110" spans="1:14" x14ac:dyDescent="0.3">
      <c r="A110">
        <v>109</v>
      </c>
      <c r="B110" t="s">
        <v>316</v>
      </c>
      <c r="C110">
        <v>50</v>
      </c>
      <c r="D110">
        <v>5</v>
      </c>
      <c r="E110" s="2">
        <v>44425</v>
      </c>
      <c r="F110" s="3">
        <v>0.64986111111111111</v>
      </c>
      <c r="G110" s="2">
        <v>44428</v>
      </c>
      <c r="H110" s="3">
        <v>0.3603703703703704</v>
      </c>
      <c r="I110" t="s">
        <v>433</v>
      </c>
      <c r="J110" t="s">
        <v>596</v>
      </c>
      <c r="K110">
        <v>15</v>
      </c>
      <c r="L110">
        <v>8</v>
      </c>
      <c r="M110">
        <v>3</v>
      </c>
      <c r="N110">
        <v>422</v>
      </c>
    </row>
    <row r="111" spans="1:14" x14ac:dyDescent="0.3">
      <c r="A111">
        <v>110</v>
      </c>
      <c r="B111" t="s">
        <v>320</v>
      </c>
      <c r="C111">
        <v>26</v>
      </c>
      <c r="D111">
        <v>2</v>
      </c>
      <c r="E111" s="2">
        <v>44529</v>
      </c>
      <c r="F111" s="3">
        <v>0.4748148148148148</v>
      </c>
      <c r="G111" s="2">
        <v>44535</v>
      </c>
      <c r="H111" s="3">
        <v>0.35244212962962962</v>
      </c>
      <c r="I111" t="s">
        <v>433</v>
      </c>
      <c r="J111" t="s">
        <v>597</v>
      </c>
      <c r="K111">
        <v>11</v>
      </c>
      <c r="L111">
        <v>8</v>
      </c>
      <c r="M111">
        <v>6</v>
      </c>
      <c r="N111">
        <v>289</v>
      </c>
    </row>
    <row r="112" spans="1:14" x14ac:dyDescent="0.3">
      <c r="A112">
        <v>111</v>
      </c>
      <c r="B112" t="s">
        <v>58</v>
      </c>
      <c r="C112">
        <v>8</v>
      </c>
      <c r="D112">
        <v>3</v>
      </c>
      <c r="E112" s="2">
        <v>44372</v>
      </c>
      <c r="F112" s="3">
        <v>0.59649305555555554</v>
      </c>
      <c r="G112" s="2">
        <v>44376</v>
      </c>
      <c r="H112" s="3">
        <v>0.87774305555555554</v>
      </c>
      <c r="I112" t="s">
        <v>437</v>
      </c>
      <c r="J112" t="s">
        <v>586</v>
      </c>
      <c r="K112">
        <v>14</v>
      </c>
      <c r="L112">
        <v>21</v>
      </c>
      <c r="M112">
        <v>4</v>
      </c>
      <c r="N112">
        <v>252</v>
      </c>
    </row>
    <row r="113" spans="1:14" x14ac:dyDescent="0.3">
      <c r="A113">
        <v>112</v>
      </c>
      <c r="B113" t="s">
        <v>115</v>
      </c>
      <c r="C113">
        <v>37</v>
      </c>
      <c r="D113">
        <v>3</v>
      </c>
      <c r="E113" s="2">
        <v>44376</v>
      </c>
      <c r="F113" s="3">
        <v>0.27504629629629629</v>
      </c>
      <c r="G113" s="2">
        <v>44379</v>
      </c>
      <c r="H113" s="3">
        <v>0.66040509259259261</v>
      </c>
      <c r="I113" t="s">
        <v>429</v>
      </c>
      <c r="J113" t="s">
        <v>586</v>
      </c>
      <c r="K113">
        <v>6</v>
      </c>
      <c r="L113">
        <v>15</v>
      </c>
      <c r="M113">
        <v>3</v>
      </c>
      <c r="N113">
        <v>1428</v>
      </c>
    </row>
    <row r="114" spans="1:14" x14ac:dyDescent="0.3">
      <c r="A114">
        <v>113</v>
      </c>
      <c r="B114" t="s">
        <v>151</v>
      </c>
      <c r="C114">
        <v>1</v>
      </c>
      <c r="D114">
        <v>3</v>
      </c>
      <c r="E114" s="2">
        <v>44261</v>
      </c>
      <c r="F114" s="3">
        <v>0.64618055555555554</v>
      </c>
      <c r="G114" s="2">
        <v>44263</v>
      </c>
      <c r="H114" s="3">
        <v>0.1852662037037037</v>
      </c>
      <c r="I114" t="s">
        <v>594</v>
      </c>
      <c r="J114" t="s">
        <v>589</v>
      </c>
      <c r="K114">
        <v>15</v>
      </c>
      <c r="L114">
        <v>4</v>
      </c>
      <c r="M114">
        <v>2</v>
      </c>
      <c r="N114">
        <v>1935</v>
      </c>
    </row>
    <row r="115" spans="1:14" x14ac:dyDescent="0.3">
      <c r="A115">
        <v>114</v>
      </c>
      <c r="B115" t="s">
        <v>58</v>
      </c>
      <c r="C115">
        <v>40</v>
      </c>
      <c r="D115">
        <v>4</v>
      </c>
      <c r="E115" s="2">
        <v>44520</v>
      </c>
      <c r="F115" s="3">
        <v>0.66892361111111109</v>
      </c>
      <c r="G115" s="2">
        <v>44524</v>
      </c>
      <c r="H115" s="3">
        <v>9.9166666666666667E-2</v>
      </c>
      <c r="I115" t="s">
        <v>437</v>
      </c>
      <c r="J115" t="s">
        <v>597</v>
      </c>
      <c r="K115">
        <v>16</v>
      </c>
      <c r="L115">
        <v>2</v>
      </c>
      <c r="M115">
        <v>4</v>
      </c>
      <c r="N115">
        <v>1923</v>
      </c>
    </row>
    <row r="116" spans="1:14" x14ac:dyDescent="0.3">
      <c r="A116">
        <v>115</v>
      </c>
      <c r="B116" t="s">
        <v>397</v>
      </c>
      <c r="C116">
        <v>57</v>
      </c>
      <c r="D116">
        <v>1</v>
      </c>
      <c r="E116" s="2">
        <v>44429</v>
      </c>
      <c r="F116" s="3">
        <v>0.75789351851851849</v>
      </c>
      <c r="G116" s="2">
        <v>44434</v>
      </c>
      <c r="H116" s="3">
        <v>0.48369212962962965</v>
      </c>
      <c r="I116" t="s">
        <v>433</v>
      </c>
      <c r="J116" t="s">
        <v>596</v>
      </c>
      <c r="K116">
        <v>18</v>
      </c>
      <c r="L116">
        <v>11</v>
      </c>
      <c r="M116">
        <v>5</v>
      </c>
      <c r="N116">
        <v>1582</v>
      </c>
    </row>
    <row r="117" spans="1:14" x14ac:dyDescent="0.3">
      <c r="A117">
        <v>116</v>
      </c>
      <c r="B117" t="s">
        <v>58</v>
      </c>
      <c r="C117">
        <v>4</v>
      </c>
      <c r="D117">
        <v>3</v>
      </c>
      <c r="E117" s="2">
        <v>44530</v>
      </c>
      <c r="F117" s="3">
        <v>0.60283564814814816</v>
      </c>
      <c r="G117" s="2">
        <v>44534</v>
      </c>
      <c r="H117" s="3">
        <v>0.22599537037037037</v>
      </c>
      <c r="I117" t="s">
        <v>429</v>
      </c>
      <c r="J117" t="s">
        <v>597</v>
      </c>
      <c r="K117">
        <v>14</v>
      </c>
      <c r="L117">
        <v>5</v>
      </c>
      <c r="M117">
        <v>4</v>
      </c>
      <c r="N117">
        <v>1199</v>
      </c>
    </row>
    <row r="118" spans="1:14" x14ac:dyDescent="0.3">
      <c r="A118">
        <v>117</v>
      </c>
      <c r="B118" t="s">
        <v>155</v>
      </c>
      <c r="C118">
        <v>59</v>
      </c>
      <c r="D118">
        <v>3</v>
      </c>
      <c r="E118" s="2">
        <v>44567</v>
      </c>
      <c r="F118" s="3">
        <v>0.78478009259259263</v>
      </c>
      <c r="G118" s="2">
        <v>44572</v>
      </c>
      <c r="H118" s="3">
        <v>0.15487268518518518</v>
      </c>
      <c r="I118" t="s">
        <v>429</v>
      </c>
      <c r="J118" t="s">
        <v>598</v>
      </c>
      <c r="K118">
        <v>18</v>
      </c>
      <c r="L118">
        <v>3</v>
      </c>
      <c r="M118">
        <v>5</v>
      </c>
      <c r="N118">
        <v>811</v>
      </c>
    </row>
    <row r="119" spans="1:14" x14ac:dyDescent="0.3">
      <c r="A119">
        <v>118</v>
      </c>
      <c r="B119" t="s">
        <v>163</v>
      </c>
      <c r="C119">
        <v>62</v>
      </c>
      <c r="D119">
        <v>1</v>
      </c>
      <c r="E119" s="2">
        <v>44530</v>
      </c>
      <c r="F119" s="3">
        <v>0.60484953703703703</v>
      </c>
      <c r="G119" s="2">
        <v>44532</v>
      </c>
      <c r="H119" s="3">
        <v>0.43949074074074074</v>
      </c>
      <c r="I119" t="s">
        <v>433</v>
      </c>
      <c r="J119" t="s">
        <v>597</v>
      </c>
      <c r="K119">
        <v>14</v>
      </c>
      <c r="L119">
        <v>10</v>
      </c>
      <c r="M119">
        <v>2</v>
      </c>
      <c r="N119">
        <v>1356</v>
      </c>
    </row>
    <row r="120" spans="1:14" x14ac:dyDescent="0.3">
      <c r="A120">
        <v>119</v>
      </c>
      <c r="B120" t="s">
        <v>62</v>
      </c>
      <c r="C120">
        <v>6</v>
      </c>
      <c r="D120">
        <v>4</v>
      </c>
      <c r="E120" s="2">
        <v>44560</v>
      </c>
      <c r="F120" s="3">
        <v>0.45983796296296298</v>
      </c>
      <c r="G120" s="2">
        <v>44566</v>
      </c>
      <c r="H120" s="3">
        <v>0.51548611111111109</v>
      </c>
      <c r="I120" t="s">
        <v>433</v>
      </c>
      <c r="J120" t="s">
        <v>588</v>
      </c>
      <c r="K120">
        <v>11</v>
      </c>
      <c r="L120">
        <v>12</v>
      </c>
      <c r="M120">
        <v>6</v>
      </c>
      <c r="N120">
        <v>1112</v>
      </c>
    </row>
    <row r="121" spans="1:14" x14ac:dyDescent="0.3">
      <c r="A121">
        <v>120</v>
      </c>
      <c r="B121" t="s">
        <v>222</v>
      </c>
      <c r="C121">
        <v>61</v>
      </c>
      <c r="D121">
        <v>1</v>
      </c>
      <c r="E121" s="2">
        <v>44530</v>
      </c>
      <c r="F121" s="3">
        <v>0.935150462962963</v>
      </c>
      <c r="G121" s="2">
        <v>44536</v>
      </c>
      <c r="H121" s="3">
        <v>0.41486111111111112</v>
      </c>
      <c r="I121" t="s">
        <v>437</v>
      </c>
      <c r="J121" t="s">
        <v>597</v>
      </c>
      <c r="K121">
        <v>22</v>
      </c>
      <c r="L121">
        <v>9</v>
      </c>
      <c r="M121">
        <v>6</v>
      </c>
      <c r="N121">
        <v>810</v>
      </c>
    </row>
    <row r="122" spans="1:14" x14ac:dyDescent="0.3">
      <c r="A122">
        <v>121</v>
      </c>
      <c r="B122" t="s">
        <v>215</v>
      </c>
      <c r="C122">
        <v>33</v>
      </c>
      <c r="D122">
        <v>3</v>
      </c>
      <c r="E122" s="2">
        <v>44544</v>
      </c>
      <c r="F122" s="3">
        <v>9.6469907407407407E-2</v>
      </c>
      <c r="G122" s="2">
        <v>44549</v>
      </c>
      <c r="H122" s="3">
        <v>0.31216435185185187</v>
      </c>
      <c r="I122" t="s">
        <v>591</v>
      </c>
      <c r="J122" t="s">
        <v>588</v>
      </c>
      <c r="K122">
        <v>2</v>
      </c>
      <c r="L122">
        <v>7</v>
      </c>
      <c r="M122">
        <v>5</v>
      </c>
      <c r="N122">
        <v>314</v>
      </c>
    </row>
    <row r="123" spans="1:14" x14ac:dyDescent="0.3">
      <c r="A123">
        <v>122</v>
      </c>
      <c r="B123" t="s">
        <v>351</v>
      </c>
      <c r="C123">
        <v>24</v>
      </c>
      <c r="D123">
        <v>5</v>
      </c>
      <c r="E123" s="2">
        <v>44255</v>
      </c>
      <c r="F123" s="3">
        <v>0.37804398148148149</v>
      </c>
      <c r="G123" s="2">
        <v>44259</v>
      </c>
      <c r="H123" s="3">
        <v>0.1355787037037037</v>
      </c>
      <c r="I123" t="s">
        <v>433</v>
      </c>
      <c r="J123" t="s">
        <v>599</v>
      </c>
      <c r="K123">
        <v>9</v>
      </c>
      <c r="L123">
        <v>3</v>
      </c>
      <c r="M123">
        <v>4</v>
      </c>
      <c r="N123">
        <v>535</v>
      </c>
    </row>
    <row r="124" spans="1:14" x14ac:dyDescent="0.3">
      <c r="A124">
        <v>123</v>
      </c>
      <c r="B124" t="s">
        <v>127</v>
      </c>
      <c r="C124">
        <v>38</v>
      </c>
      <c r="D124">
        <v>1</v>
      </c>
      <c r="E124" s="2">
        <v>44267</v>
      </c>
      <c r="F124" s="3">
        <v>2.1631944444444443E-2</v>
      </c>
      <c r="G124" s="2">
        <v>44270</v>
      </c>
      <c r="H124" s="3">
        <v>0.20744212962962963</v>
      </c>
      <c r="I124" t="s">
        <v>433</v>
      </c>
      <c r="J124" t="s">
        <v>589</v>
      </c>
      <c r="K124">
        <v>0</v>
      </c>
      <c r="L124">
        <v>4</v>
      </c>
      <c r="M124">
        <v>3</v>
      </c>
      <c r="N124">
        <v>562</v>
      </c>
    </row>
    <row r="125" spans="1:14" x14ac:dyDescent="0.3">
      <c r="A125">
        <v>124</v>
      </c>
      <c r="B125" t="s">
        <v>143</v>
      </c>
      <c r="C125">
        <v>67</v>
      </c>
      <c r="D125">
        <v>4</v>
      </c>
      <c r="E125" s="2">
        <v>44486</v>
      </c>
      <c r="F125" s="3">
        <v>0.36452546296296295</v>
      </c>
      <c r="G125" s="2">
        <v>44490</v>
      </c>
      <c r="H125" s="3">
        <v>0.22481481481481483</v>
      </c>
      <c r="I125" t="s">
        <v>437</v>
      </c>
      <c r="J125" t="s">
        <v>587</v>
      </c>
      <c r="K125">
        <v>8</v>
      </c>
      <c r="L125">
        <v>5</v>
      </c>
      <c r="M125">
        <v>4</v>
      </c>
      <c r="N125">
        <v>1374</v>
      </c>
    </row>
    <row r="126" spans="1:14" x14ac:dyDescent="0.3">
      <c r="A126">
        <v>125</v>
      </c>
      <c r="B126" t="s">
        <v>103</v>
      </c>
      <c r="C126">
        <v>31</v>
      </c>
      <c r="D126">
        <v>2</v>
      </c>
      <c r="E126" s="2">
        <v>44437</v>
      </c>
      <c r="F126" s="3">
        <v>0.38346064814814818</v>
      </c>
      <c r="G126" s="2">
        <v>44440</v>
      </c>
      <c r="H126" s="3">
        <v>0.60846064814814815</v>
      </c>
      <c r="I126" t="s">
        <v>594</v>
      </c>
      <c r="J126" t="s">
        <v>596</v>
      </c>
      <c r="K126">
        <v>9</v>
      </c>
      <c r="L126">
        <v>14</v>
      </c>
      <c r="M126">
        <v>3</v>
      </c>
      <c r="N126">
        <v>1804</v>
      </c>
    </row>
    <row r="127" spans="1:14" x14ac:dyDescent="0.3">
      <c r="A127">
        <v>126</v>
      </c>
      <c r="B127" t="s">
        <v>183</v>
      </c>
      <c r="C127">
        <v>19</v>
      </c>
      <c r="D127">
        <v>5</v>
      </c>
      <c r="E127" s="2">
        <v>44337</v>
      </c>
      <c r="F127" s="3">
        <v>0.10305555555555555</v>
      </c>
      <c r="G127" s="2">
        <v>44343</v>
      </c>
      <c r="H127" s="3">
        <v>0.55321759259259262</v>
      </c>
      <c r="I127" t="s">
        <v>591</v>
      </c>
      <c r="J127" t="s">
        <v>593</v>
      </c>
      <c r="K127">
        <v>2</v>
      </c>
      <c r="L127">
        <v>13</v>
      </c>
      <c r="M127">
        <v>6</v>
      </c>
      <c r="N127">
        <v>1234</v>
      </c>
    </row>
    <row r="128" spans="1:14" x14ac:dyDescent="0.3">
      <c r="A128">
        <v>127</v>
      </c>
      <c r="B128" t="s">
        <v>226</v>
      </c>
      <c r="C128">
        <v>60</v>
      </c>
      <c r="D128">
        <v>4</v>
      </c>
      <c r="E128" s="2">
        <v>44449</v>
      </c>
      <c r="F128" s="3">
        <v>0.58655092592592595</v>
      </c>
      <c r="G128" s="2">
        <v>44455</v>
      </c>
      <c r="H128" s="3">
        <v>0.80903935185185183</v>
      </c>
      <c r="I128" t="s">
        <v>429</v>
      </c>
      <c r="J128" t="s">
        <v>595</v>
      </c>
      <c r="K128">
        <v>14</v>
      </c>
      <c r="L128">
        <v>19</v>
      </c>
      <c r="M128">
        <v>6</v>
      </c>
      <c r="N128">
        <v>827</v>
      </c>
    </row>
    <row r="129" spans="1:14" x14ac:dyDescent="0.3">
      <c r="A129">
        <v>128</v>
      </c>
      <c r="B129" t="s">
        <v>280</v>
      </c>
      <c r="C129">
        <v>12</v>
      </c>
      <c r="D129">
        <v>3</v>
      </c>
      <c r="E129" s="2">
        <v>44432</v>
      </c>
      <c r="F129" s="3">
        <v>0.70171296296296293</v>
      </c>
      <c r="G129" s="2">
        <v>44436</v>
      </c>
      <c r="H129" s="3">
        <v>0.63285879629629627</v>
      </c>
      <c r="I129" t="s">
        <v>437</v>
      </c>
      <c r="J129" t="s">
        <v>596</v>
      </c>
      <c r="K129">
        <v>16</v>
      </c>
      <c r="L129">
        <v>15</v>
      </c>
      <c r="M129">
        <v>4</v>
      </c>
      <c r="N129">
        <v>672</v>
      </c>
    </row>
    <row r="130" spans="1:14" x14ac:dyDescent="0.3">
      <c r="A130">
        <v>129</v>
      </c>
      <c r="B130" t="s">
        <v>226</v>
      </c>
      <c r="C130">
        <v>67</v>
      </c>
      <c r="D130">
        <v>2</v>
      </c>
      <c r="E130" s="2">
        <v>44395</v>
      </c>
      <c r="F130" s="3">
        <v>0.2232638888888889</v>
      </c>
      <c r="G130" s="2">
        <v>44399</v>
      </c>
      <c r="H130" s="3">
        <v>0.34550925925925924</v>
      </c>
      <c r="I130" t="s">
        <v>437</v>
      </c>
      <c r="J130" t="s">
        <v>590</v>
      </c>
      <c r="K130">
        <v>5</v>
      </c>
      <c r="L130">
        <v>8</v>
      </c>
      <c r="M130">
        <v>4</v>
      </c>
      <c r="N130">
        <v>1374</v>
      </c>
    </row>
    <row r="131" spans="1:14" x14ac:dyDescent="0.3">
      <c r="A131">
        <v>130</v>
      </c>
      <c r="B131" t="s">
        <v>300</v>
      </c>
      <c r="C131">
        <v>10</v>
      </c>
      <c r="D131">
        <v>5</v>
      </c>
      <c r="E131" s="2">
        <v>44406</v>
      </c>
      <c r="F131" s="3">
        <v>0.56436342592592592</v>
      </c>
      <c r="G131" s="2">
        <v>44412</v>
      </c>
      <c r="H131" s="3">
        <v>0.91798611111111106</v>
      </c>
      <c r="I131" t="s">
        <v>433</v>
      </c>
      <c r="J131" t="s">
        <v>590</v>
      </c>
      <c r="K131">
        <v>13</v>
      </c>
      <c r="L131">
        <v>22</v>
      </c>
      <c r="M131">
        <v>6</v>
      </c>
      <c r="N131">
        <v>259</v>
      </c>
    </row>
    <row r="132" spans="1:14" x14ac:dyDescent="0.3">
      <c r="A132">
        <v>131</v>
      </c>
      <c r="B132" t="s">
        <v>332</v>
      </c>
      <c r="C132">
        <v>3</v>
      </c>
      <c r="D132">
        <v>5</v>
      </c>
      <c r="E132" s="2">
        <v>44558</v>
      </c>
      <c r="F132" s="3">
        <v>0.85474537037037035</v>
      </c>
      <c r="G132" s="2">
        <v>44564</v>
      </c>
      <c r="H132" s="3">
        <v>0.35350694444444447</v>
      </c>
      <c r="I132" t="s">
        <v>591</v>
      </c>
      <c r="J132" t="s">
        <v>588</v>
      </c>
      <c r="K132">
        <v>20</v>
      </c>
      <c r="L132">
        <v>8</v>
      </c>
      <c r="M132">
        <v>6</v>
      </c>
      <c r="N132">
        <v>1534</v>
      </c>
    </row>
    <row r="133" spans="1:14" x14ac:dyDescent="0.3">
      <c r="A133">
        <v>132</v>
      </c>
      <c r="B133" t="s">
        <v>203</v>
      </c>
      <c r="C133">
        <v>49</v>
      </c>
      <c r="D133">
        <v>4</v>
      </c>
      <c r="E133" s="2">
        <v>44254</v>
      </c>
      <c r="F133" s="3">
        <v>0.97478009259259257</v>
      </c>
      <c r="G133" s="2">
        <v>44258</v>
      </c>
      <c r="H133" s="3">
        <v>0.83041666666666669</v>
      </c>
      <c r="I133" t="s">
        <v>591</v>
      </c>
      <c r="J133" t="s">
        <v>599</v>
      </c>
      <c r="K133">
        <v>23</v>
      </c>
      <c r="L133">
        <v>19</v>
      </c>
      <c r="M133">
        <v>4</v>
      </c>
      <c r="N133">
        <v>903</v>
      </c>
    </row>
    <row r="134" spans="1:14" x14ac:dyDescent="0.3">
      <c r="A134">
        <v>133</v>
      </c>
      <c r="B134" t="s">
        <v>95</v>
      </c>
      <c r="C134">
        <v>43</v>
      </c>
      <c r="D134">
        <v>5</v>
      </c>
      <c r="E134" s="2">
        <v>44387</v>
      </c>
      <c r="F134" s="3">
        <v>0.66104166666666664</v>
      </c>
      <c r="G134" s="2">
        <v>44389</v>
      </c>
      <c r="H134" s="3">
        <v>0.47420138888888891</v>
      </c>
      <c r="I134" t="s">
        <v>429</v>
      </c>
      <c r="J134" t="s">
        <v>590</v>
      </c>
      <c r="K134">
        <v>15</v>
      </c>
      <c r="L134">
        <v>11</v>
      </c>
      <c r="M134">
        <v>2</v>
      </c>
      <c r="N134">
        <v>750</v>
      </c>
    </row>
    <row r="135" spans="1:14" x14ac:dyDescent="0.3">
      <c r="A135">
        <v>134</v>
      </c>
      <c r="B135" t="s">
        <v>167</v>
      </c>
      <c r="C135">
        <v>69</v>
      </c>
      <c r="D135">
        <v>5</v>
      </c>
      <c r="E135" s="2">
        <v>44552</v>
      </c>
      <c r="F135" s="3">
        <v>0.80053240740740739</v>
      </c>
      <c r="G135" s="2">
        <v>44557</v>
      </c>
      <c r="H135" s="3">
        <v>0.20728009259259259</v>
      </c>
      <c r="I135" t="s">
        <v>433</v>
      </c>
      <c r="J135" t="s">
        <v>588</v>
      </c>
      <c r="K135">
        <v>19</v>
      </c>
      <c r="L135">
        <v>4</v>
      </c>
      <c r="M135">
        <v>5</v>
      </c>
      <c r="N135">
        <v>998</v>
      </c>
    </row>
    <row r="136" spans="1:14" x14ac:dyDescent="0.3">
      <c r="A136">
        <v>135</v>
      </c>
      <c r="B136" t="s">
        <v>367</v>
      </c>
      <c r="C136">
        <v>30</v>
      </c>
      <c r="D136">
        <v>2</v>
      </c>
      <c r="E136" s="2">
        <v>44494</v>
      </c>
      <c r="F136" s="3">
        <v>0.43065972222222221</v>
      </c>
      <c r="G136" s="2">
        <v>44496</v>
      </c>
      <c r="H136" s="3">
        <v>0.65509259259259256</v>
      </c>
      <c r="I136" t="s">
        <v>437</v>
      </c>
      <c r="J136" t="s">
        <v>587</v>
      </c>
      <c r="K136">
        <v>10</v>
      </c>
      <c r="L136">
        <v>15</v>
      </c>
      <c r="M136">
        <v>2</v>
      </c>
      <c r="N136">
        <v>751</v>
      </c>
    </row>
    <row r="137" spans="1:14" x14ac:dyDescent="0.3">
      <c r="A137">
        <v>136</v>
      </c>
      <c r="B137" t="s">
        <v>167</v>
      </c>
      <c r="C137">
        <v>56</v>
      </c>
      <c r="D137">
        <v>1</v>
      </c>
      <c r="E137" s="2">
        <v>44427</v>
      </c>
      <c r="F137" s="3">
        <v>0.67290509259259257</v>
      </c>
      <c r="G137" s="2">
        <v>44432</v>
      </c>
      <c r="H137" s="3">
        <v>0.9252083333333333</v>
      </c>
      <c r="I137" t="s">
        <v>437</v>
      </c>
      <c r="J137" t="s">
        <v>596</v>
      </c>
      <c r="K137">
        <v>16</v>
      </c>
      <c r="L137">
        <v>22</v>
      </c>
      <c r="M137">
        <v>5</v>
      </c>
      <c r="N137">
        <v>1272</v>
      </c>
    </row>
    <row r="138" spans="1:14" x14ac:dyDescent="0.3">
      <c r="A138">
        <v>137</v>
      </c>
      <c r="B138" t="s">
        <v>300</v>
      </c>
      <c r="C138">
        <v>47</v>
      </c>
      <c r="D138">
        <v>2</v>
      </c>
      <c r="E138" s="2">
        <v>44272</v>
      </c>
      <c r="F138" s="3">
        <v>0.6711111111111111</v>
      </c>
      <c r="G138" s="2">
        <v>44278</v>
      </c>
      <c r="H138" s="3">
        <v>0.3120486111111111</v>
      </c>
      <c r="I138" t="s">
        <v>433</v>
      </c>
      <c r="J138" t="s">
        <v>589</v>
      </c>
      <c r="K138">
        <v>16</v>
      </c>
      <c r="L138">
        <v>7</v>
      </c>
      <c r="M138">
        <v>6</v>
      </c>
      <c r="N138">
        <v>1638</v>
      </c>
    </row>
    <row r="139" spans="1:14" x14ac:dyDescent="0.3">
      <c r="A139">
        <v>138</v>
      </c>
      <c r="B139" t="s">
        <v>111</v>
      </c>
      <c r="C139">
        <v>57</v>
      </c>
      <c r="D139">
        <v>4</v>
      </c>
      <c r="E139" s="2">
        <v>44232</v>
      </c>
      <c r="F139" s="3">
        <v>0.39856481481481482</v>
      </c>
      <c r="G139" s="2">
        <v>44235</v>
      </c>
      <c r="H139" s="3">
        <v>0.25185185185185183</v>
      </c>
      <c r="I139" t="s">
        <v>433</v>
      </c>
      <c r="J139" t="s">
        <v>599</v>
      </c>
      <c r="K139">
        <v>9</v>
      </c>
      <c r="L139">
        <v>6</v>
      </c>
      <c r="M139">
        <v>3</v>
      </c>
      <c r="N139">
        <v>1582</v>
      </c>
    </row>
    <row r="140" spans="1:14" x14ac:dyDescent="0.3">
      <c r="A140">
        <v>139</v>
      </c>
      <c r="B140" t="s">
        <v>242</v>
      </c>
      <c r="C140">
        <v>54</v>
      </c>
      <c r="D140">
        <v>4</v>
      </c>
      <c r="E140" s="2">
        <v>44241</v>
      </c>
      <c r="F140" s="3">
        <v>0.17690972222222223</v>
      </c>
      <c r="G140" s="2">
        <v>44247</v>
      </c>
      <c r="H140" s="3">
        <v>0.75884259259259257</v>
      </c>
      <c r="I140" t="s">
        <v>437</v>
      </c>
      <c r="J140" t="s">
        <v>599</v>
      </c>
      <c r="K140">
        <v>4</v>
      </c>
      <c r="L140">
        <v>18</v>
      </c>
      <c r="M140">
        <v>6</v>
      </c>
      <c r="N140">
        <v>1236</v>
      </c>
    </row>
    <row r="141" spans="1:14" x14ac:dyDescent="0.3">
      <c r="A141">
        <v>140</v>
      </c>
      <c r="B141" t="s">
        <v>83</v>
      </c>
      <c r="C141">
        <v>47</v>
      </c>
      <c r="D141">
        <v>1</v>
      </c>
      <c r="E141" s="2">
        <v>44567</v>
      </c>
      <c r="F141" s="3">
        <v>0.26359953703703703</v>
      </c>
      <c r="G141" s="2">
        <v>44569</v>
      </c>
      <c r="H141" s="3">
        <v>0.89554398148148151</v>
      </c>
      <c r="I141" t="s">
        <v>433</v>
      </c>
      <c r="J141" t="s">
        <v>598</v>
      </c>
      <c r="K141">
        <v>6</v>
      </c>
      <c r="L141">
        <v>21</v>
      </c>
      <c r="M141">
        <v>2</v>
      </c>
      <c r="N141">
        <v>1638</v>
      </c>
    </row>
    <row r="142" spans="1:14" x14ac:dyDescent="0.3">
      <c r="A142">
        <v>141</v>
      </c>
      <c r="B142" t="s">
        <v>269</v>
      </c>
      <c r="C142">
        <v>35</v>
      </c>
      <c r="D142">
        <v>4</v>
      </c>
      <c r="E142" s="2">
        <v>44516</v>
      </c>
      <c r="F142" s="3">
        <v>0.16326388888888888</v>
      </c>
      <c r="G142" s="2">
        <v>44518</v>
      </c>
      <c r="H142" s="3">
        <v>0.10550925925925926</v>
      </c>
      <c r="I142" t="s">
        <v>433</v>
      </c>
      <c r="J142" t="s">
        <v>597</v>
      </c>
      <c r="K142">
        <v>3</v>
      </c>
      <c r="L142">
        <v>2</v>
      </c>
      <c r="M142">
        <v>2</v>
      </c>
      <c r="N142">
        <v>1865</v>
      </c>
    </row>
    <row r="143" spans="1:14" x14ac:dyDescent="0.3">
      <c r="A143">
        <v>142</v>
      </c>
      <c r="B143" t="s">
        <v>139</v>
      </c>
      <c r="C143">
        <v>23</v>
      </c>
      <c r="D143">
        <v>2</v>
      </c>
      <c r="E143" s="2">
        <v>44357</v>
      </c>
      <c r="F143" s="3">
        <v>0.10501157407407408</v>
      </c>
      <c r="G143" s="2">
        <v>44362</v>
      </c>
      <c r="H143" s="3">
        <v>0.18351851851851853</v>
      </c>
      <c r="I143" t="s">
        <v>437</v>
      </c>
      <c r="J143" t="s">
        <v>586</v>
      </c>
      <c r="K143">
        <v>2</v>
      </c>
      <c r="L143">
        <v>4</v>
      </c>
      <c r="M143">
        <v>5</v>
      </c>
      <c r="N143">
        <v>1098</v>
      </c>
    </row>
    <row r="144" spans="1:14" x14ac:dyDescent="0.3">
      <c r="A144">
        <v>143</v>
      </c>
      <c r="B144" t="s">
        <v>367</v>
      </c>
      <c r="C144">
        <v>66</v>
      </c>
      <c r="D144">
        <v>2</v>
      </c>
      <c r="E144" s="2">
        <v>44228</v>
      </c>
      <c r="F144" s="3">
        <v>0.31756944444444446</v>
      </c>
      <c r="G144" s="2">
        <v>44231</v>
      </c>
      <c r="H144" s="3">
        <v>0.61798611111111112</v>
      </c>
      <c r="I144" t="s">
        <v>433</v>
      </c>
      <c r="J144" t="s">
        <v>599</v>
      </c>
      <c r="K144">
        <v>7</v>
      </c>
      <c r="L144">
        <v>14</v>
      </c>
      <c r="M144">
        <v>3</v>
      </c>
      <c r="N144">
        <v>610</v>
      </c>
    </row>
    <row r="145" spans="1:14" x14ac:dyDescent="0.3">
      <c r="A145">
        <v>144</v>
      </c>
      <c r="B145" t="s">
        <v>378</v>
      </c>
      <c r="C145">
        <v>51</v>
      </c>
      <c r="D145">
        <v>5</v>
      </c>
      <c r="E145" s="2">
        <v>44446</v>
      </c>
      <c r="F145" s="3">
        <v>0.37572916666666667</v>
      </c>
      <c r="G145" s="2">
        <v>44451</v>
      </c>
      <c r="H145" s="3">
        <v>0.14114583333333333</v>
      </c>
      <c r="I145" t="s">
        <v>594</v>
      </c>
      <c r="J145" t="s">
        <v>595</v>
      </c>
      <c r="K145">
        <v>9</v>
      </c>
      <c r="L145">
        <v>3</v>
      </c>
      <c r="M145">
        <v>5</v>
      </c>
      <c r="N145">
        <v>1084</v>
      </c>
    </row>
    <row r="146" spans="1:14" x14ac:dyDescent="0.3">
      <c r="A146">
        <v>145</v>
      </c>
      <c r="B146" t="s">
        <v>242</v>
      </c>
      <c r="C146">
        <v>59</v>
      </c>
      <c r="D146">
        <v>5</v>
      </c>
      <c r="E146" s="2">
        <v>44460</v>
      </c>
      <c r="F146" s="3">
        <v>0.7034259259259259</v>
      </c>
      <c r="G146" s="2">
        <v>44466</v>
      </c>
      <c r="H146" s="3">
        <v>0.54473379629629626</v>
      </c>
      <c r="I146" t="s">
        <v>429</v>
      </c>
      <c r="J146" t="s">
        <v>595</v>
      </c>
      <c r="K146">
        <v>16</v>
      </c>
      <c r="L146">
        <v>13</v>
      </c>
      <c r="M146">
        <v>6</v>
      </c>
      <c r="N146">
        <v>811</v>
      </c>
    </row>
    <row r="147" spans="1:14" x14ac:dyDescent="0.3">
      <c r="A147">
        <v>146</v>
      </c>
      <c r="B147" t="s">
        <v>143</v>
      </c>
      <c r="C147">
        <v>52</v>
      </c>
      <c r="D147">
        <v>5</v>
      </c>
      <c r="E147" s="2">
        <v>44261</v>
      </c>
      <c r="F147" s="3">
        <v>0.7666087962962963</v>
      </c>
      <c r="G147" s="2">
        <v>44266</v>
      </c>
      <c r="H147" s="3">
        <v>0.17195601851851852</v>
      </c>
      <c r="I147" t="s">
        <v>591</v>
      </c>
      <c r="J147" t="s">
        <v>589</v>
      </c>
      <c r="K147">
        <v>18</v>
      </c>
      <c r="L147">
        <v>4</v>
      </c>
      <c r="M147">
        <v>5</v>
      </c>
      <c r="N147">
        <v>236</v>
      </c>
    </row>
    <row r="148" spans="1:14" x14ac:dyDescent="0.3">
      <c r="A148">
        <v>147</v>
      </c>
      <c r="B148" t="s">
        <v>339</v>
      </c>
      <c r="C148">
        <v>8</v>
      </c>
      <c r="D148">
        <v>4</v>
      </c>
      <c r="E148" s="2">
        <v>44319</v>
      </c>
      <c r="F148" s="3">
        <v>0.81128472222222225</v>
      </c>
      <c r="G148" s="2">
        <v>44321</v>
      </c>
      <c r="H148" s="3">
        <v>0.57721064814814815</v>
      </c>
      <c r="I148" t="s">
        <v>437</v>
      </c>
      <c r="J148" t="s">
        <v>593</v>
      </c>
      <c r="K148">
        <v>19</v>
      </c>
      <c r="L148">
        <v>13</v>
      </c>
      <c r="M148">
        <v>2</v>
      </c>
      <c r="N148">
        <v>252</v>
      </c>
    </row>
    <row r="149" spans="1:14" x14ac:dyDescent="0.3">
      <c r="A149">
        <v>148</v>
      </c>
      <c r="B149" t="s">
        <v>207</v>
      </c>
      <c r="C149">
        <v>24</v>
      </c>
      <c r="D149">
        <v>3</v>
      </c>
      <c r="E149" s="2">
        <v>44360</v>
      </c>
      <c r="F149" s="3">
        <v>8.9675925925925923E-2</v>
      </c>
      <c r="G149" s="2">
        <v>44362</v>
      </c>
      <c r="H149" s="3">
        <v>0.37335648148148148</v>
      </c>
      <c r="I149" t="s">
        <v>433</v>
      </c>
      <c r="J149" t="s">
        <v>586</v>
      </c>
      <c r="K149">
        <v>2</v>
      </c>
      <c r="L149">
        <v>8</v>
      </c>
      <c r="M149">
        <v>2</v>
      </c>
      <c r="N149">
        <v>535</v>
      </c>
    </row>
    <row r="150" spans="1:14" x14ac:dyDescent="0.3">
      <c r="A150">
        <v>149</v>
      </c>
      <c r="B150" t="s">
        <v>53</v>
      </c>
      <c r="C150">
        <v>5</v>
      </c>
      <c r="D150">
        <v>3</v>
      </c>
      <c r="E150" s="2">
        <v>44231</v>
      </c>
      <c r="F150" s="3">
        <v>0.97440972222222222</v>
      </c>
      <c r="G150" s="2">
        <v>44237</v>
      </c>
      <c r="H150" s="3">
        <v>0.83972222222222226</v>
      </c>
      <c r="I150" t="s">
        <v>594</v>
      </c>
      <c r="J150" t="s">
        <v>599</v>
      </c>
      <c r="K150">
        <v>23</v>
      </c>
      <c r="L150">
        <v>20</v>
      </c>
      <c r="M150">
        <v>6</v>
      </c>
      <c r="N150">
        <v>1444</v>
      </c>
    </row>
    <row r="151" spans="1:14" x14ac:dyDescent="0.3">
      <c r="A151">
        <v>150</v>
      </c>
      <c r="B151" t="s">
        <v>386</v>
      </c>
      <c r="C151">
        <v>27</v>
      </c>
      <c r="D151">
        <v>5</v>
      </c>
      <c r="E151" s="2">
        <v>44223</v>
      </c>
      <c r="F151" s="3">
        <v>0.30436342592592591</v>
      </c>
      <c r="G151" s="2">
        <v>44228</v>
      </c>
      <c r="H151" s="3">
        <v>0.70570601851851855</v>
      </c>
      <c r="I151" t="s">
        <v>429</v>
      </c>
      <c r="J151" t="s">
        <v>598</v>
      </c>
      <c r="K151">
        <v>7</v>
      </c>
      <c r="L151">
        <v>16</v>
      </c>
      <c r="M151">
        <v>5</v>
      </c>
      <c r="N151">
        <v>548</v>
      </c>
    </row>
    <row r="152" spans="1:14" x14ac:dyDescent="0.3">
      <c r="A152">
        <v>151</v>
      </c>
      <c r="B152" t="s">
        <v>226</v>
      </c>
      <c r="C152">
        <v>43</v>
      </c>
      <c r="D152">
        <v>1</v>
      </c>
      <c r="E152" s="2">
        <v>44389</v>
      </c>
      <c r="F152" s="3">
        <v>0.90446759259259257</v>
      </c>
      <c r="G152" s="2">
        <v>44393</v>
      </c>
      <c r="H152" s="3">
        <v>0.16391203703703705</v>
      </c>
      <c r="I152" t="s">
        <v>429</v>
      </c>
      <c r="J152" t="s">
        <v>590</v>
      </c>
      <c r="K152">
        <v>21</v>
      </c>
      <c r="L152">
        <v>3</v>
      </c>
      <c r="M152">
        <v>4</v>
      </c>
      <c r="N152">
        <v>750</v>
      </c>
    </row>
    <row r="153" spans="1:14" x14ac:dyDescent="0.3">
      <c r="A153">
        <v>152</v>
      </c>
      <c r="B153" t="s">
        <v>355</v>
      </c>
      <c r="C153">
        <v>51</v>
      </c>
      <c r="D153">
        <v>2</v>
      </c>
      <c r="E153" s="2">
        <v>44345</v>
      </c>
      <c r="F153" s="3">
        <v>0.45059027777777777</v>
      </c>
      <c r="G153" s="2">
        <v>44349</v>
      </c>
      <c r="H153" s="3">
        <v>0.69400462962962961</v>
      </c>
      <c r="I153" t="s">
        <v>594</v>
      </c>
      <c r="J153" t="s">
        <v>593</v>
      </c>
      <c r="K153">
        <v>10</v>
      </c>
      <c r="L153">
        <v>16</v>
      </c>
      <c r="M153">
        <v>4</v>
      </c>
      <c r="N153">
        <v>1084</v>
      </c>
    </row>
    <row r="154" spans="1:14" x14ac:dyDescent="0.3">
      <c r="A154">
        <v>153</v>
      </c>
      <c r="B154" t="s">
        <v>394</v>
      </c>
      <c r="C154">
        <v>16</v>
      </c>
      <c r="D154">
        <v>4</v>
      </c>
      <c r="E154" s="2">
        <v>44345</v>
      </c>
      <c r="F154" s="3">
        <v>0.51041666666666663</v>
      </c>
      <c r="G154" s="2">
        <v>44348</v>
      </c>
      <c r="H154" s="3">
        <v>0.25327546296296294</v>
      </c>
      <c r="I154" t="s">
        <v>433</v>
      </c>
      <c r="J154" t="s">
        <v>593</v>
      </c>
      <c r="K154">
        <v>12</v>
      </c>
      <c r="L154">
        <v>6</v>
      </c>
      <c r="M154">
        <v>3</v>
      </c>
      <c r="N154">
        <v>1721</v>
      </c>
    </row>
    <row r="155" spans="1:14" x14ac:dyDescent="0.3">
      <c r="A155">
        <v>154</v>
      </c>
      <c r="B155" t="s">
        <v>218</v>
      </c>
      <c r="C155">
        <v>45</v>
      </c>
      <c r="D155">
        <v>5</v>
      </c>
      <c r="E155" s="2">
        <v>44432</v>
      </c>
      <c r="F155" s="3">
        <v>0.96826388888888892</v>
      </c>
      <c r="G155" s="2">
        <v>44436</v>
      </c>
      <c r="H155" s="3">
        <v>8.6793981481481486E-2</v>
      </c>
      <c r="I155" t="s">
        <v>433</v>
      </c>
      <c r="J155" t="s">
        <v>596</v>
      </c>
      <c r="K155">
        <v>23</v>
      </c>
      <c r="L155">
        <v>2</v>
      </c>
      <c r="M155">
        <v>4</v>
      </c>
      <c r="N155">
        <v>722</v>
      </c>
    </row>
    <row r="156" spans="1:14" x14ac:dyDescent="0.3">
      <c r="A156">
        <v>155</v>
      </c>
      <c r="B156" t="s">
        <v>115</v>
      </c>
      <c r="C156">
        <v>23</v>
      </c>
      <c r="D156">
        <v>3</v>
      </c>
      <c r="E156" s="2">
        <v>44469</v>
      </c>
      <c r="F156" s="3">
        <v>0.61594907407407407</v>
      </c>
      <c r="G156" s="2">
        <v>44472</v>
      </c>
      <c r="H156" s="3">
        <v>3.4722222222222224E-4</v>
      </c>
      <c r="I156" t="s">
        <v>437</v>
      </c>
      <c r="J156" t="s">
        <v>595</v>
      </c>
      <c r="K156">
        <v>14</v>
      </c>
      <c r="L156">
        <v>0</v>
      </c>
      <c r="M156">
        <v>3</v>
      </c>
      <c r="N156">
        <v>1098</v>
      </c>
    </row>
    <row r="157" spans="1:14" x14ac:dyDescent="0.3">
      <c r="A157">
        <v>156</v>
      </c>
      <c r="B157" t="s">
        <v>143</v>
      </c>
      <c r="C157">
        <v>61</v>
      </c>
      <c r="D157">
        <v>2</v>
      </c>
      <c r="E157" s="2">
        <v>44453</v>
      </c>
      <c r="F157" s="3">
        <v>0.34780092592592593</v>
      </c>
      <c r="G157" s="2">
        <v>44459</v>
      </c>
      <c r="H157" s="3">
        <v>0.4508564814814815</v>
      </c>
      <c r="I157" t="s">
        <v>437</v>
      </c>
      <c r="J157" t="s">
        <v>595</v>
      </c>
      <c r="K157">
        <v>8</v>
      </c>
      <c r="L157">
        <v>10</v>
      </c>
      <c r="M157">
        <v>6</v>
      </c>
      <c r="N157">
        <v>810</v>
      </c>
    </row>
    <row r="158" spans="1:14" x14ac:dyDescent="0.3">
      <c r="A158">
        <v>157</v>
      </c>
      <c r="B158" t="s">
        <v>99</v>
      </c>
      <c r="C158">
        <v>35</v>
      </c>
      <c r="D158">
        <v>3</v>
      </c>
      <c r="E158" s="2">
        <v>44456</v>
      </c>
      <c r="F158" s="3">
        <v>0.53075231481481477</v>
      </c>
      <c r="G158" s="2">
        <v>44459</v>
      </c>
      <c r="H158" s="3">
        <v>0.48314814814814816</v>
      </c>
      <c r="I158" t="s">
        <v>433</v>
      </c>
      <c r="J158" t="s">
        <v>595</v>
      </c>
      <c r="K158">
        <v>12</v>
      </c>
      <c r="L158">
        <v>11</v>
      </c>
      <c r="M158">
        <v>3</v>
      </c>
      <c r="N158">
        <v>1865</v>
      </c>
    </row>
    <row r="159" spans="1:14" x14ac:dyDescent="0.3">
      <c r="A159">
        <v>158</v>
      </c>
      <c r="B159" t="s">
        <v>49</v>
      </c>
      <c r="C159">
        <v>35</v>
      </c>
      <c r="D159">
        <v>2</v>
      </c>
      <c r="E159" s="2">
        <v>44451</v>
      </c>
      <c r="F159" s="3">
        <v>0.65297453703703701</v>
      </c>
      <c r="G159" s="2">
        <v>44456</v>
      </c>
      <c r="H159" s="3">
        <v>0.12015046296296296</v>
      </c>
      <c r="I159" t="s">
        <v>433</v>
      </c>
      <c r="J159" t="s">
        <v>595</v>
      </c>
      <c r="K159">
        <v>15</v>
      </c>
      <c r="L159">
        <v>2</v>
      </c>
      <c r="M159">
        <v>5</v>
      </c>
      <c r="N159">
        <v>1865</v>
      </c>
    </row>
    <row r="160" spans="1:14" x14ac:dyDescent="0.3">
      <c r="A160">
        <v>159</v>
      </c>
      <c r="B160" t="s">
        <v>397</v>
      </c>
      <c r="C160">
        <v>43</v>
      </c>
      <c r="D160">
        <v>3</v>
      </c>
      <c r="E160" s="2">
        <v>44463</v>
      </c>
      <c r="F160" s="3">
        <v>0.89697916666666666</v>
      </c>
      <c r="G160" s="2">
        <v>44467</v>
      </c>
      <c r="H160" s="3">
        <v>0.20550925925925925</v>
      </c>
      <c r="I160" t="s">
        <v>429</v>
      </c>
      <c r="J160" t="s">
        <v>595</v>
      </c>
      <c r="K160">
        <v>21</v>
      </c>
      <c r="L160">
        <v>4</v>
      </c>
      <c r="M160">
        <v>4</v>
      </c>
      <c r="N160">
        <v>750</v>
      </c>
    </row>
    <row r="161" spans="1:14" x14ac:dyDescent="0.3">
      <c r="A161">
        <v>160</v>
      </c>
      <c r="B161" t="s">
        <v>171</v>
      </c>
      <c r="C161">
        <v>36</v>
      </c>
      <c r="D161">
        <v>3</v>
      </c>
      <c r="E161" s="2">
        <v>44408</v>
      </c>
      <c r="F161" s="3">
        <v>2.0104166666666666E-2</v>
      </c>
      <c r="G161" s="2">
        <v>44412</v>
      </c>
      <c r="H161" s="3">
        <v>0.32846064814814813</v>
      </c>
      <c r="I161" t="s">
        <v>433</v>
      </c>
      <c r="J161" t="s">
        <v>590</v>
      </c>
      <c r="K161">
        <v>0</v>
      </c>
      <c r="L161">
        <v>7</v>
      </c>
      <c r="M161">
        <v>4</v>
      </c>
      <c r="N161">
        <v>203</v>
      </c>
    </row>
    <row r="162" spans="1:14" x14ac:dyDescent="0.3">
      <c r="A162">
        <v>161</v>
      </c>
      <c r="B162" t="s">
        <v>238</v>
      </c>
      <c r="C162">
        <v>58</v>
      </c>
      <c r="D162">
        <v>3</v>
      </c>
      <c r="E162" s="2">
        <v>44255</v>
      </c>
      <c r="F162" s="3">
        <v>0.13062499999999999</v>
      </c>
      <c r="G162" s="2">
        <v>44258</v>
      </c>
      <c r="H162" s="3">
        <v>0.96667824074074071</v>
      </c>
      <c r="I162" t="s">
        <v>591</v>
      </c>
      <c r="J162" t="s">
        <v>599</v>
      </c>
      <c r="K162">
        <v>3</v>
      </c>
      <c r="L162">
        <v>23</v>
      </c>
      <c r="M162">
        <v>3</v>
      </c>
      <c r="N162">
        <v>1492</v>
      </c>
    </row>
    <row r="163" spans="1:14" x14ac:dyDescent="0.3">
      <c r="A163">
        <v>162</v>
      </c>
      <c r="B163" t="s">
        <v>222</v>
      </c>
      <c r="C163">
        <v>55</v>
      </c>
      <c r="D163">
        <v>3</v>
      </c>
      <c r="E163" s="2">
        <v>44556</v>
      </c>
      <c r="F163" s="3">
        <v>0.2600810185185185</v>
      </c>
      <c r="G163" s="2">
        <v>44559</v>
      </c>
      <c r="H163" s="3">
        <v>0.66232638888888884</v>
      </c>
      <c r="I163" t="s">
        <v>429</v>
      </c>
      <c r="J163" t="s">
        <v>588</v>
      </c>
      <c r="K163">
        <v>6</v>
      </c>
      <c r="L163">
        <v>15</v>
      </c>
      <c r="M163">
        <v>3</v>
      </c>
      <c r="N163">
        <v>1904</v>
      </c>
    </row>
    <row r="164" spans="1:14" x14ac:dyDescent="0.3">
      <c r="A164">
        <v>163</v>
      </c>
      <c r="B164" t="s">
        <v>351</v>
      </c>
      <c r="C164">
        <v>54</v>
      </c>
      <c r="D164">
        <v>4</v>
      </c>
      <c r="E164" s="2">
        <v>44552</v>
      </c>
      <c r="F164" s="3">
        <v>0.82650462962962967</v>
      </c>
      <c r="G164" s="2">
        <v>44558</v>
      </c>
      <c r="H164" s="3">
        <v>0.43074074074074076</v>
      </c>
      <c r="I164" t="s">
        <v>437</v>
      </c>
      <c r="J164" t="s">
        <v>588</v>
      </c>
      <c r="K164">
        <v>19</v>
      </c>
      <c r="L164">
        <v>10</v>
      </c>
      <c r="M164">
        <v>6</v>
      </c>
      <c r="N164">
        <v>1236</v>
      </c>
    </row>
    <row r="165" spans="1:14" x14ac:dyDescent="0.3">
      <c r="A165">
        <v>164</v>
      </c>
      <c r="B165" t="s">
        <v>273</v>
      </c>
      <c r="C165">
        <v>14</v>
      </c>
      <c r="D165">
        <v>5</v>
      </c>
      <c r="E165" s="2">
        <v>44528</v>
      </c>
      <c r="F165" s="3">
        <v>8.6134259259259258E-2</v>
      </c>
      <c r="G165" s="2">
        <v>44534</v>
      </c>
      <c r="H165" s="3">
        <v>0.49274305555555553</v>
      </c>
      <c r="I165" t="s">
        <v>433</v>
      </c>
      <c r="J165" t="s">
        <v>597</v>
      </c>
      <c r="K165">
        <v>2</v>
      </c>
      <c r="L165">
        <v>11</v>
      </c>
      <c r="M165">
        <v>6</v>
      </c>
      <c r="N165">
        <v>1915</v>
      </c>
    </row>
    <row r="166" spans="1:14" x14ac:dyDescent="0.3">
      <c r="A166">
        <v>165</v>
      </c>
      <c r="B166" t="s">
        <v>253</v>
      </c>
      <c r="C166">
        <v>40</v>
      </c>
      <c r="D166">
        <v>5</v>
      </c>
      <c r="E166" s="2">
        <v>44309</v>
      </c>
      <c r="F166" s="3">
        <v>0.54949074074074078</v>
      </c>
      <c r="G166" s="2">
        <v>44315</v>
      </c>
      <c r="H166" s="3">
        <v>0.35918981481481482</v>
      </c>
      <c r="I166" t="s">
        <v>437</v>
      </c>
      <c r="J166" t="s">
        <v>592</v>
      </c>
      <c r="K166">
        <v>13</v>
      </c>
      <c r="L166">
        <v>8</v>
      </c>
      <c r="M166">
        <v>6</v>
      </c>
      <c r="N166">
        <v>1923</v>
      </c>
    </row>
    <row r="167" spans="1:14" x14ac:dyDescent="0.3">
      <c r="A167">
        <v>166</v>
      </c>
      <c r="B167" t="s">
        <v>163</v>
      </c>
      <c r="C167">
        <v>4</v>
      </c>
      <c r="D167">
        <v>3</v>
      </c>
      <c r="E167" s="2">
        <v>44311</v>
      </c>
      <c r="F167" s="3">
        <v>0.96212962962962967</v>
      </c>
      <c r="G167" s="2">
        <v>44316</v>
      </c>
      <c r="H167" s="3">
        <v>0.25886574074074076</v>
      </c>
      <c r="I167" t="s">
        <v>429</v>
      </c>
      <c r="J167" t="s">
        <v>592</v>
      </c>
      <c r="K167">
        <v>23</v>
      </c>
      <c r="L167">
        <v>6</v>
      </c>
      <c r="M167">
        <v>5</v>
      </c>
      <c r="N167">
        <v>1199</v>
      </c>
    </row>
    <row r="168" spans="1:14" x14ac:dyDescent="0.3">
      <c r="A168">
        <v>167</v>
      </c>
      <c r="B168" t="s">
        <v>99</v>
      </c>
      <c r="C168">
        <v>37</v>
      </c>
      <c r="D168">
        <v>4</v>
      </c>
      <c r="E168" s="2">
        <v>44404</v>
      </c>
      <c r="F168" s="3">
        <v>6.0312499999999998E-2</v>
      </c>
      <c r="G168" s="2">
        <v>44407</v>
      </c>
      <c r="H168" s="3">
        <v>0.63642361111111112</v>
      </c>
      <c r="I168" t="s">
        <v>429</v>
      </c>
      <c r="J168" t="s">
        <v>590</v>
      </c>
      <c r="K168">
        <v>1</v>
      </c>
      <c r="L168">
        <v>15</v>
      </c>
      <c r="M168">
        <v>3</v>
      </c>
      <c r="N168">
        <v>1428</v>
      </c>
    </row>
    <row r="169" spans="1:14" x14ac:dyDescent="0.3">
      <c r="A169">
        <v>168</v>
      </c>
      <c r="B169" t="s">
        <v>386</v>
      </c>
      <c r="C169">
        <v>35</v>
      </c>
      <c r="D169">
        <v>2</v>
      </c>
      <c r="E169" s="2">
        <v>44304</v>
      </c>
      <c r="F169" s="3">
        <v>0.65003472222222225</v>
      </c>
      <c r="G169" s="2">
        <v>44307</v>
      </c>
      <c r="H169" s="3">
        <v>0.46020833333333333</v>
      </c>
      <c r="I169" t="s">
        <v>433</v>
      </c>
      <c r="J169" t="s">
        <v>592</v>
      </c>
      <c r="K169">
        <v>15</v>
      </c>
      <c r="L169">
        <v>11</v>
      </c>
      <c r="M169">
        <v>3</v>
      </c>
      <c r="N169">
        <v>1865</v>
      </c>
    </row>
    <row r="170" spans="1:14" x14ac:dyDescent="0.3">
      <c r="A170">
        <v>169</v>
      </c>
      <c r="B170" t="s">
        <v>226</v>
      </c>
      <c r="C170">
        <v>3</v>
      </c>
      <c r="D170">
        <v>2</v>
      </c>
      <c r="E170" s="2">
        <v>44216</v>
      </c>
      <c r="F170" s="3">
        <v>0.43677083333333333</v>
      </c>
      <c r="G170" s="2">
        <v>44219</v>
      </c>
      <c r="H170" s="3">
        <v>5.994212962962963E-2</v>
      </c>
      <c r="I170" t="s">
        <v>591</v>
      </c>
      <c r="J170" t="s">
        <v>598</v>
      </c>
      <c r="K170">
        <v>10</v>
      </c>
      <c r="L170">
        <v>1</v>
      </c>
      <c r="M170">
        <v>3</v>
      </c>
      <c r="N170">
        <v>1534</v>
      </c>
    </row>
    <row r="171" spans="1:14" x14ac:dyDescent="0.3">
      <c r="A171">
        <v>170</v>
      </c>
      <c r="B171" t="s">
        <v>183</v>
      </c>
      <c r="C171">
        <v>32</v>
      </c>
      <c r="D171">
        <v>2</v>
      </c>
      <c r="E171" s="2">
        <v>44217</v>
      </c>
      <c r="F171" s="3">
        <v>0.49876157407407407</v>
      </c>
      <c r="G171" s="2">
        <v>44219</v>
      </c>
      <c r="H171" s="3">
        <v>0.21813657407407408</v>
      </c>
      <c r="I171" t="s">
        <v>433</v>
      </c>
      <c r="J171" t="s">
        <v>598</v>
      </c>
      <c r="K171">
        <v>11</v>
      </c>
      <c r="L171">
        <v>5</v>
      </c>
      <c r="M171">
        <v>2</v>
      </c>
      <c r="N171">
        <v>1792</v>
      </c>
    </row>
    <row r="172" spans="1:14" x14ac:dyDescent="0.3">
      <c r="A172">
        <v>171</v>
      </c>
      <c r="B172" t="s">
        <v>304</v>
      </c>
      <c r="C172">
        <v>54</v>
      </c>
      <c r="D172">
        <v>3</v>
      </c>
      <c r="E172" s="2">
        <v>44557</v>
      </c>
      <c r="F172" s="3">
        <v>0.49153935185185182</v>
      </c>
      <c r="G172" s="2">
        <v>44559</v>
      </c>
      <c r="H172" s="3">
        <v>0.5188194444444445</v>
      </c>
      <c r="I172" t="s">
        <v>437</v>
      </c>
      <c r="J172" t="s">
        <v>588</v>
      </c>
      <c r="K172">
        <v>11</v>
      </c>
      <c r="L172">
        <v>12</v>
      </c>
      <c r="M172">
        <v>2</v>
      </c>
      <c r="N172">
        <v>1236</v>
      </c>
    </row>
    <row r="173" spans="1:14" x14ac:dyDescent="0.3">
      <c r="A173">
        <v>172</v>
      </c>
      <c r="B173" t="s">
        <v>300</v>
      </c>
      <c r="C173">
        <v>62</v>
      </c>
      <c r="D173">
        <v>4</v>
      </c>
      <c r="E173" s="2">
        <v>44300</v>
      </c>
      <c r="F173" s="3">
        <v>0.19449074074074074</v>
      </c>
      <c r="G173" s="2">
        <v>44306</v>
      </c>
      <c r="H173" s="3">
        <v>0.21721064814814814</v>
      </c>
      <c r="I173" t="s">
        <v>433</v>
      </c>
      <c r="J173" t="s">
        <v>592</v>
      </c>
      <c r="K173">
        <v>4</v>
      </c>
      <c r="L173">
        <v>5</v>
      </c>
      <c r="M173">
        <v>6</v>
      </c>
      <c r="N173">
        <v>1356</v>
      </c>
    </row>
    <row r="174" spans="1:14" x14ac:dyDescent="0.3">
      <c r="A174">
        <v>173</v>
      </c>
      <c r="B174" t="s">
        <v>308</v>
      </c>
      <c r="C174">
        <v>58</v>
      </c>
      <c r="D174">
        <v>2</v>
      </c>
      <c r="E174" s="2">
        <v>44529</v>
      </c>
      <c r="F174" s="3">
        <v>0.96917824074074077</v>
      </c>
      <c r="G174" s="2">
        <v>44535</v>
      </c>
      <c r="H174" s="3">
        <v>7.7696759259259257E-2</v>
      </c>
      <c r="I174" t="s">
        <v>591</v>
      </c>
      <c r="J174" t="s">
        <v>597</v>
      </c>
      <c r="K174">
        <v>23</v>
      </c>
      <c r="L174">
        <v>1</v>
      </c>
      <c r="M174">
        <v>6</v>
      </c>
      <c r="N174">
        <v>1492</v>
      </c>
    </row>
    <row r="175" spans="1:14" x14ac:dyDescent="0.3">
      <c r="A175">
        <v>174</v>
      </c>
      <c r="B175" t="s">
        <v>215</v>
      </c>
      <c r="C175">
        <v>4</v>
      </c>
      <c r="D175">
        <v>3</v>
      </c>
      <c r="E175" s="2">
        <v>44295</v>
      </c>
      <c r="F175" s="3">
        <v>0.65231481481481479</v>
      </c>
      <c r="G175" s="2">
        <v>44298</v>
      </c>
      <c r="H175" s="3">
        <v>0.75469907407407411</v>
      </c>
      <c r="I175" t="s">
        <v>429</v>
      </c>
      <c r="J175" t="s">
        <v>592</v>
      </c>
      <c r="K175">
        <v>15</v>
      </c>
      <c r="L175">
        <v>18</v>
      </c>
      <c r="M175">
        <v>3</v>
      </c>
      <c r="N175">
        <v>1199</v>
      </c>
    </row>
    <row r="176" spans="1:14" x14ac:dyDescent="0.3">
      <c r="A176">
        <v>175</v>
      </c>
      <c r="B176" t="s">
        <v>191</v>
      </c>
      <c r="C176">
        <v>31</v>
      </c>
      <c r="D176">
        <v>1</v>
      </c>
      <c r="E176" s="2">
        <v>44413</v>
      </c>
      <c r="F176" s="3">
        <v>5.4016203703703705E-2</v>
      </c>
      <c r="G176" s="2">
        <v>44417</v>
      </c>
      <c r="H176" s="3">
        <v>0.30754629629629632</v>
      </c>
      <c r="I176" t="s">
        <v>594</v>
      </c>
      <c r="J176" t="s">
        <v>596</v>
      </c>
      <c r="K176">
        <v>1</v>
      </c>
      <c r="L176">
        <v>7</v>
      </c>
      <c r="M176">
        <v>4</v>
      </c>
      <c r="N176">
        <v>1804</v>
      </c>
    </row>
    <row r="177" spans="1:14" x14ac:dyDescent="0.3">
      <c r="A177">
        <v>176</v>
      </c>
      <c r="B177" t="s">
        <v>179</v>
      </c>
      <c r="C177">
        <v>17</v>
      </c>
      <c r="D177">
        <v>2</v>
      </c>
      <c r="E177" s="2">
        <v>44523</v>
      </c>
      <c r="F177" s="3">
        <v>0.14914351851851851</v>
      </c>
      <c r="G177" s="2">
        <v>44529</v>
      </c>
      <c r="H177" s="3">
        <v>0.72559027777777774</v>
      </c>
      <c r="I177" t="s">
        <v>437</v>
      </c>
      <c r="J177" t="s">
        <v>597</v>
      </c>
      <c r="K177">
        <v>3</v>
      </c>
      <c r="L177">
        <v>17</v>
      </c>
      <c r="M177">
        <v>6</v>
      </c>
      <c r="N177">
        <v>1899</v>
      </c>
    </row>
    <row r="178" spans="1:14" x14ac:dyDescent="0.3">
      <c r="A178">
        <v>177</v>
      </c>
      <c r="B178" t="s">
        <v>359</v>
      </c>
      <c r="C178">
        <v>62</v>
      </c>
      <c r="D178">
        <v>4</v>
      </c>
      <c r="E178" s="2">
        <v>44389</v>
      </c>
      <c r="F178" s="3">
        <v>7.5833333333333336E-2</v>
      </c>
      <c r="G178" s="2">
        <v>44394</v>
      </c>
      <c r="H178" s="3">
        <v>0.61854166666666666</v>
      </c>
      <c r="I178" t="s">
        <v>433</v>
      </c>
      <c r="J178" t="s">
        <v>590</v>
      </c>
      <c r="K178">
        <v>1</v>
      </c>
      <c r="L178">
        <v>14</v>
      </c>
      <c r="M178">
        <v>5</v>
      </c>
      <c r="N178">
        <v>1356</v>
      </c>
    </row>
    <row r="179" spans="1:14" x14ac:dyDescent="0.3">
      <c r="A179">
        <v>178</v>
      </c>
      <c r="B179" t="s">
        <v>405</v>
      </c>
      <c r="C179">
        <v>61</v>
      </c>
      <c r="D179">
        <v>1</v>
      </c>
      <c r="E179" s="2">
        <v>44220</v>
      </c>
      <c r="F179" s="3">
        <v>0.96146990740740745</v>
      </c>
      <c r="G179" s="2">
        <v>44224</v>
      </c>
      <c r="H179" s="3">
        <v>9.3321759259259257E-2</v>
      </c>
      <c r="I179" t="s">
        <v>437</v>
      </c>
      <c r="J179" t="s">
        <v>598</v>
      </c>
      <c r="K179">
        <v>23</v>
      </c>
      <c r="L179">
        <v>2</v>
      </c>
      <c r="M179">
        <v>4</v>
      </c>
      <c r="N179">
        <v>810</v>
      </c>
    </row>
    <row r="180" spans="1:14" x14ac:dyDescent="0.3">
      <c r="A180">
        <v>179</v>
      </c>
      <c r="B180" t="s">
        <v>332</v>
      </c>
      <c r="C180">
        <v>47</v>
      </c>
      <c r="D180">
        <v>3</v>
      </c>
      <c r="E180" s="2">
        <v>44559</v>
      </c>
      <c r="F180" s="3">
        <v>0.63613425925925926</v>
      </c>
      <c r="G180" s="2">
        <v>44565</v>
      </c>
      <c r="H180" s="3">
        <v>0.60494212962962968</v>
      </c>
      <c r="I180" t="s">
        <v>433</v>
      </c>
      <c r="J180" t="s">
        <v>588</v>
      </c>
      <c r="K180">
        <v>15</v>
      </c>
      <c r="L180">
        <v>14</v>
      </c>
      <c r="M180">
        <v>6</v>
      </c>
      <c r="N180">
        <v>1638</v>
      </c>
    </row>
    <row r="181" spans="1:14" x14ac:dyDescent="0.3">
      <c r="A181">
        <v>180</v>
      </c>
      <c r="B181" t="s">
        <v>253</v>
      </c>
      <c r="C181">
        <v>55</v>
      </c>
      <c r="D181">
        <v>2</v>
      </c>
      <c r="E181" s="2">
        <v>44244</v>
      </c>
      <c r="F181" s="3">
        <v>0.69482638888888892</v>
      </c>
      <c r="G181" s="2">
        <v>44248</v>
      </c>
      <c r="H181" s="3">
        <v>0.36474537037037036</v>
      </c>
      <c r="I181" t="s">
        <v>429</v>
      </c>
      <c r="J181" t="s">
        <v>599</v>
      </c>
      <c r="K181">
        <v>16</v>
      </c>
      <c r="L181">
        <v>8</v>
      </c>
      <c r="M181">
        <v>4</v>
      </c>
      <c r="N181">
        <v>1904</v>
      </c>
    </row>
    <row r="182" spans="1:14" x14ac:dyDescent="0.3">
      <c r="A182">
        <v>181</v>
      </c>
      <c r="B182" t="s">
        <v>277</v>
      </c>
      <c r="C182">
        <v>10</v>
      </c>
      <c r="D182">
        <v>4</v>
      </c>
      <c r="E182" s="2">
        <v>44233</v>
      </c>
      <c r="F182" s="3">
        <v>0.24678240740740739</v>
      </c>
      <c r="G182" s="2">
        <v>44238</v>
      </c>
      <c r="H182" s="3">
        <v>0.20379629629629631</v>
      </c>
      <c r="I182" t="s">
        <v>433</v>
      </c>
      <c r="J182" t="s">
        <v>599</v>
      </c>
      <c r="K182">
        <v>5</v>
      </c>
      <c r="L182">
        <v>4</v>
      </c>
      <c r="M182">
        <v>5</v>
      </c>
      <c r="N182">
        <v>259</v>
      </c>
    </row>
    <row r="183" spans="1:14" x14ac:dyDescent="0.3">
      <c r="A183">
        <v>182</v>
      </c>
      <c r="B183" t="s">
        <v>300</v>
      </c>
      <c r="C183">
        <v>2</v>
      </c>
      <c r="D183">
        <v>1</v>
      </c>
      <c r="E183" s="2">
        <v>44347</v>
      </c>
      <c r="F183" s="3">
        <v>0.97326388888888893</v>
      </c>
      <c r="G183" s="2">
        <v>44353</v>
      </c>
      <c r="H183" s="3">
        <v>0.25524305555555554</v>
      </c>
      <c r="I183" t="s">
        <v>591</v>
      </c>
      <c r="J183" t="s">
        <v>593</v>
      </c>
      <c r="K183">
        <v>23</v>
      </c>
      <c r="L183">
        <v>6</v>
      </c>
      <c r="M183">
        <v>6</v>
      </c>
      <c r="N183">
        <v>441</v>
      </c>
    </row>
    <row r="184" spans="1:14" x14ac:dyDescent="0.3">
      <c r="A184">
        <v>183</v>
      </c>
      <c r="B184" t="s">
        <v>347</v>
      </c>
      <c r="C184">
        <v>48</v>
      </c>
      <c r="D184">
        <v>3</v>
      </c>
      <c r="E184" s="2">
        <v>44423</v>
      </c>
      <c r="F184" s="3">
        <v>0.7581134259259259</v>
      </c>
      <c r="G184" s="2">
        <v>44428</v>
      </c>
      <c r="H184" s="3">
        <v>0.64543981481481483</v>
      </c>
      <c r="I184" t="s">
        <v>429</v>
      </c>
      <c r="J184" t="s">
        <v>596</v>
      </c>
      <c r="K184">
        <v>18</v>
      </c>
      <c r="L184">
        <v>15</v>
      </c>
      <c r="M184">
        <v>5</v>
      </c>
      <c r="N184">
        <v>433</v>
      </c>
    </row>
    <row r="185" spans="1:14" x14ac:dyDescent="0.3">
      <c r="A185">
        <v>184</v>
      </c>
      <c r="B185" t="s">
        <v>131</v>
      </c>
      <c r="C185">
        <v>52</v>
      </c>
      <c r="D185">
        <v>3</v>
      </c>
      <c r="E185" s="2">
        <v>44396</v>
      </c>
      <c r="F185" s="3">
        <v>0.89922453703703709</v>
      </c>
      <c r="G185" s="2">
        <v>44402</v>
      </c>
      <c r="H185" s="3">
        <v>0.20866898148148147</v>
      </c>
      <c r="I185" t="s">
        <v>591</v>
      </c>
      <c r="J185" t="s">
        <v>590</v>
      </c>
      <c r="K185">
        <v>21</v>
      </c>
      <c r="L185">
        <v>5</v>
      </c>
      <c r="M185">
        <v>6</v>
      </c>
      <c r="N185">
        <v>236</v>
      </c>
    </row>
    <row r="186" spans="1:14" x14ac:dyDescent="0.3">
      <c r="A186">
        <v>185</v>
      </c>
      <c r="B186" t="s">
        <v>292</v>
      </c>
      <c r="C186">
        <v>18</v>
      </c>
      <c r="D186">
        <v>1</v>
      </c>
      <c r="E186" s="2">
        <v>44500</v>
      </c>
      <c r="F186" s="3">
        <v>0.29913194444444446</v>
      </c>
      <c r="G186" s="2">
        <v>44503</v>
      </c>
      <c r="H186" s="3">
        <v>0.83383101851851849</v>
      </c>
      <c r="I186" t="s">
        <v>433</v>
      </c>
      <c r="J186" t="s">
        <v>587</v>
      </c>
      <c r="K186">
        <v>7</v>
      </c>
      <c r="L186">
        <v>20</v>
      </c>
      <c r="M186">
        <v>3</v>
      </c>
      <c r="N186">
        <v>781</v>
      </c>
    </row>
    <row r="187" spans="1:14" x14ac:dyDescent="0.3">
      <c r="A187">
        <v>186</v>
      </c>
      <c r="B187" t="s">
        <v>215</v>
      </c>
      <c r="C187">
        <v>61</v>
      </c>
      <c r="D187">
        <v>1</v>
      </c>
      <c r="E187" s="2">
        <v>44524</v>
      </c>
      <c r="F187" s="3">
        <v>0.38175925925925924</v>
      </c>
      <c r="G187" s="2">
        <v>44528</v>
      </c>
      <c r="H187" s="3">
        <v>1.1377314814814814E-2</v>
      </c>
      <c r="I187" t="s">
        <v>437</v>
      </c>
      <c r="J187" t="s">
        <v>597</v>
      </c>
      <c r="K187">
        <v>9</v>
      </c>
      <c r="L187">
        <v>0</v>
      </c>
      <c r="M187">
        <v>4</v>
      </c>
      <c r="N187">
        <v>810</v>
      </c>
    </row>
    <row r="188" spans="1:14" x14ac:dyDescent="0.3">
      <c r="A188">
        <v>187</v>
      </c>
      <c r="B188" t="s">
        <v>53</v>
      </c>
      <c r="C188">
        <v>49</v>
      </c>
      <c r="D188">
        <v>5</v>
      </c>
      <c r="E188" s="2">
        <v>44516</v>
      </c>
      <c r="F188" s="3">
        <v>0.88241898148148146</v>
      </c>
      <c r="G188" s="2">
        <v>44522</v>
      </c>
      <c r="H188" s="3">
        <v>0.39871527777777777</v>
      </c>
      <c r="I188" t="s">
        <v>591</v>
      </c>
      <c r="J188" t="s">
        <v>597</v>
      </c>
      <c r="K188">
        <v>21</v>
      </c>
      <c r="L188">
        <v>9</v>
      </c>
      <c r="M188">
        <v>6</v>
      </c>
      <c r="N188">
        <v>903</v>
      </c>
    </row>
    <row r="189" spans="1:14" x14ac:dyDescent="0.3">
      <c r="A189">
        <v>188</v>
      </c>
      <c r="B189" t="s">
        <v>288</v>
      </c>
      <c r="C189">
        <v>22</v>
      </c>
      <c r="D189">
        <v>5</v>
      </c>
      <c r="E189" s="2">
        <v>44273</v>
      </c>
      <c r="F189" s="3">
        <v>6.8437499999999998E-2</v>
      </c>
      <c r="G189" s="2">
        <v>44275</v>
      </c>
      <c r="H189" s="3">
        <v>0.58486111111111116</v>
      </c>
      <c r="I189" t="s">
        <v>594</v>
      </c>
      <c r="J189" t="s">
        <v>589</v>
      </c>
      <c r="K189">
        <v>1</v>
      </c>
      <c r="L189">
        <v>14</v>
      </c>
      <c r="M189">
        <v>2</v>
      </c>
      <c r="N189">
        <v>1639</v>
      </c>
    </row>
    <row r="190" spans="1:14" x14ac:dyDescent="0.3">
      <c r="A190">
        <v>189</v>
      </c>
      <c r="B190" t="s">
        <v>86</v>
      </c>
      <c r="C190">
        <v>57</v>
      </c>
      <c r="D190">
        <v>1</v>
      </c>
      <c r="E190" s="2">
        <v>44311</v>
      </c>
      <c r="F190" s="3">
        <v>0.7238310185185185</v>
      </c>
      <c r="G190" s="2">
        <v>44314</v>
      </c>
      <c r="H190" s="3">
        <v>0.55687500000000001</v>
      </c>
      <c r="I190" t="s">
        <v>433</v>
      </c>
      <c r="J190" t="s">
        <v>592</v>
      </c>
      <c r="K190">
        <v>17</v>
      </c>
      <c r="L190">
        <v>13</v>
      </c>
      <c r="M190">
        <v>3</v>
      </c>
      <c r="N190">
        <v>1582</v>
      </c>
    </row>
    <row r="191" spans="1:14" x14ac:dyDescent="0.3">
      <c r="A191">
        <v>190</v>
      </c>
      <c r="B191" t="s">
        <v>401</v>
      </c>
      <c r="C191">
        <v>60</v>
      </c>
      <c r="D191">
        <v>5</v>
      </c>
      <c r="E191" s="2">
        <v>44546</v>
      </c>
      <c r="F191" s="3">
        <v>0.52348379629629627</v>
      </c>
      <c r="G191" s="2">
        <v>44552</v>
      </c>
      <c r="H191" s="3">
        <v>0.57041666666666668</v>
      </c>
      <c r="I191" t="s">
        <v>429</v>
      </c>
      <c r="J191" t="s">
        <v>588</v>
      </c>
      <c r="K191">
        <v>12</v>
      </c>
      <c r="L191">
        <v>13</v>
      </c>
      <c r="M191">
        <v>6</v>
      </c>
      <c r="N191">
        <v>827</v>
      </c>
    </row>
    <row r="192" spans="1:14" x14ac:dyDescent="0.3">
      <c r="A192">
        <v>191</v>
      </c>
      <c r="B192" t="s">
        <v>70</v>
      </c>
      <c r="C192">
        <v>24</v>
      </c>
      <c r="D192">
        <v>3</v>
      </c>
      <c r="E192" s="2">
        <v>44284</v>
      </c>
      <c r="F192" s="3">
        <v>0.7590972222222222</v>
      </c>
      <c r="G192" s="2">
        <v>44290</v>
      </c>
      <c r="H192" s="3">
        <v>0.36807870370370371</v>
      </c>
      <c r="I192" t="s">
        <v>433</v>
      </c>
      <c r="J192" t="s">
        <v>589</v>
      </c>
      <c r="K192">
        <v>18</v>
      </c>
      <c r="L192">
        <v>8</v>
      </c>
      <c r="M192">
        <v>6</v>
      </c>
      <c r="N192">
        <v>535</v>
      </c>
    </row>
    <row r="193" spans="1:14" x14ac:dyDescent="0.3">
      <c r="A193">
        <v>192</v>
      </c>
      <c r="B193" t="s">
        <v>261</v>
      </c>
      <c r="C193">
        <v>64</v>
      </c>
      <c r="D193">
        <v>5</v>
      </c>
      <c r="E193" s="2">
        <v>44224</v>
      </c>
      <c r="F193" s="3">
        <v>0.51981481481481484</v>
      </c>
      <c r="G193" s="2">
        <v>44230</v>
      </c>
      <c r="H193" s="3">
        <v>9.1180555555555556E-2</v>
      </c>
      <c r="I193" t="s">
        <v>429</v>
      </c>
      <c r="J193" t="s">
        <v>598</v>
      </c>
      <c r="K193">
        <v>12</v>
      </c>
      <c r="L193">
        <v>2</v>
      </c>
      <c r="M193">
        <v>6</v>
      </c>
      <c r="N193">
        <v>1878</v>
      </c>
    </row>
    <row r="194" spans="1:14" x14ac:dyDescent="0.3">
      <c r="A194">
        <v>193</v>
      </c>
      <c r="B194" t="s">
        <v>175</v>
      </c>
      <c r="C194">
        <v>42</v>
      </c>
      <c r="D194">
        <v>4</v>
      </c>
      <c r="E194" s="2">
        <v>44444</v>
      </c>
      <c r="F194" s="3">
        <v>0.98922453703703705</v>
      </c>
      <c r="G194" s="2">
        <v>44450</v>
      </c>
      <c r="H194" s="3">
        <v>0.10696759259259259</v>
      </c>
      <c r="I194" t="s">
        <v>594</v>
      </c>
      <c r="J194" t="s">
        <v>595</v>
      </c>
      <c r="K194">
        <v>23</v>
      </c>
      <c r="L194">
        <v>2</v>
      </c>
      <c r="M194">
        <v>6</v>
      </c>
      <c r="N194">
        <v>1744</v>
      </c>
    </row>
    <row r="195" spans="1:14" x14ac:dyDescent="0.3">
      <c r="A195">
        <v>194</v>
      </c>
      <c r="B195" t="s">
        <v>143</v>
      </c>
      <c r="C195">
        <v>58</v>
      </c>
      <c r="D195">
        <v>4</v>
      </c>
      <c r="E195" s="2">
        <v>44271</v>
      </c>
      <c r="F195" s="3">
        <v>0.48714120370370373</v>
      </c>
      <c r="G195" s="2">
        <v>44277</v>
      </c>
      <c r="H195" s="3">
        <v>0.20451388888888888</v>
      </c>
      <c r="I195" t="s">
        <v>591</v>
      </c>
      <c r="J195" t="s">
        <v>589</v>
      </c>
      <c r="K195">
        <v>11</v>
      </c>
      <c r="L195">
        <v>4</v>
      </c>
      <c r="M195">
        <v>6</v>
      </c>
      <c r="N195">
        <v>1492</v>
      </c>
    </row>
    <row r="196" spans="1:14" x14ac:dyDescent="0.3">
      <c r="A196">
        <v>195</v>
      </c>
      <c r="B196" t="s">
        <v>171</v>
      </c>
      <c r="C196">
        <v>67</v>
      </c>
      <c r="D196">
        <v>5</v>
      </c>
      <c r="E196" s="2">
        <v>44299</v>
      </c>
      <c r="F196" s="3">
        <v>0.23186342592592593</v>
      </c>
      <c r="G196" s="2">
        <v>44301</v>
      </c>
      <c r="H196" s="3">
        <v>0.32754629629629628</v>
      </c>
      <c r="I196" t="s">
        <v>437</v>
      </c>
      <c r="J196" t="s">
        <v>592</v>
      </c>
      <c r="K196">
        <v>5</v>
      </c>
      <c r="L196">
        <v>7</v>
      </c>
      <c r="M196">
        <v>2</v>
      </c>
      <c r="N196">
        <v>1374</v>
      </c>
    </row>
    <row r="197" spans="1:14" x14ac:dyDescent="0.3">
      <c r="A197">
        <v>196</v>
      </c>
      <c r="B197" t="s">
        <v>273</v>
      </c>
      <c r="C197">
        <v>30</v>
      </c>
      <c r="D197">
        <v>2</v>
      </c>
      <c r="E197" s="2">
        <v>44221</v>
      </c>
      <c r="F197" s="3">
        <v>0.40127314814814813</v>
      </c>
      <c r="G197" s="2">
        <v>44225</v>
      </c>
      <c r="H197" s="3">
        <v>0.37368055555555557</v>
      </c>
      <c r="I197" t="s">
        <v>437</v>
      </c>
      <c r="J197" t="s">
        <v>598</v>
      </c>
      <c r="K197">
        <v>9</v>
      </c>
      <c r="L197">
        <v>8</v>
      </c>
      <c r="M197">
        <v>4</v>
      </c>
      <c r="N197">
        <v>751</v>
      </c>
    </row>
    <row r="198" spans="1:14" x14ac:dyDescent="0.3">
      <c r="A198">
        <v>197</v>
      </c>
      <c r="B198" t="s">
        <v>397</v>
      </c>
      <c r="C198">
        <v>45</v>
      </c>
      <c r="D198">
        <v>2</v>
      </c>
      <c r="E198" s="2">
        <v>44237</v>
      </c>
      <c r="F198" s="3">
        <v>0.77687499999999998</v>
      </c>
      <c r="G198" s="2">
        <v>44243</v>
      </c>
      <c r="H198" s="3">
        <v>0.14590277777777777</v>
      </c>
      <c r="I198" t="s">
        <v>433</v>
      </c>
      <c r="J198" t="s">
        <v>599</v>
      </c>
      <c r="K198">
        <v>18</v>
      </c>
      <c r="L198">
        <v>3</v>
      </c>
      <c r="M198">
        <v>6</v>
      </c>
      <c r="N198">
        <v>722</v>
      </c>
    </row>
    <row r="199" spans="1:14" x14ac:dyDescent="0.3">
      <c r="A199">
        <v>198</v>
      </c>
      <c r="B199" t="s">
        <v>378</v>
      </c>
      <c r="C199">
        <v>24</v>
      </c>
      <c r="D199">
        <v>2</v>
      </c>
      <c r="E199" s="2">
        <v>44310</v>
      </c>
      <c r="F199" s="3">
        <v>0.9400115740740741</v>
      </c>
      <c r="G199" s="2">
        <v>44312</v>
      </c>
      <c r="H199" s="3">
        <v>4.8495370370370369E-2</v>
      </c>
      <c r="I199" t="s">
        <v>433</v>
      </c>
      <c r="J199" t="s">
        <v>592</v>
      </c>
      <c r="K199">
        <v>22</v>
      </c>
      <c r="L199">
        <v>1</v>
      </c>
      <c r="M199">
        <v>2</v>
      </c>
      <c r="N199">
        <v>535</v>
      </c>
    </row>
    <row r="200" spans="1:14" x14ac:dyDescent="0.3">
      <c r="A200">
        <v>199</v>
      </c>
      <c r="B200" t="s">
        <v>390</v>
      </c>
      <c r="C200">
        <v>70</v>
      </c>
      <c r="D200">
        <v>5</v>
      </c>
      <c r="E200" s="2">
        <v>44278</v>
      </c>
      <c r="F200" s="3">
        <v>7.9513888888888884E-2</v>
      </c>
      <c r="G200" s="2">
        <v>44283</v>
      </c>
      <c r="H200" s="3">
        <v>0.68401620370370375</v>
      </c>
      <c r="I200" t="s">
        <v>433</v>
      </c>
      <c r="J200" t="s">
        <v>589</v>
      </c>
      <c r="K200">
        <v>1</v>
      </c>
      <c r="L200">
        <v>16</v>
      </c>
      <c r="M200">
        <v>5</v>
      </c>
      <c r="N200">
        <v>866</v>
      </c>
    </row>
    <row r="201" spans="1:14" x14ac:dyDescent="0.3">
      <c r="A201">
        <v>200</v>
      </c>
      <c r="B201" t="s">
        <v>288</v>
      </c>
      <c r="C201">
        <v>23</v>
      </c>
      <c r="D201">
        <v>5</v>
      </c>
      <c r="E201" s="2">
        <v>44368</v>
      </c>
      <c r="F201" s="3">
        <v>0.83629629629629632</v>
      </c>
      <c r="G201" s="2">
        <v>44372</v>
      </c>
      <c r="H201" s="3">
        <v>0.97143518518518523</v>
      </c>
      <c r="I201" t="s">
        <v>437</v>
      </c>
      <c r="J201" t="s">
        <v>586</v>
      </c>
      <c r="K201">
        <v>20</v>
      </c>
      <c r="L201">
        <v>23</v>
      </c>
      <c r="M201">
        <v>4</v>
      </c>
      <c r="N201">
        <v>1098</v>
      </c>
    </row>
    <row r="202" spans="1:14" x14ac:dyDescent="0.3">
      <c r="A202">
        <v>201</v>
      </c>
      <c r="B202" t="s">
        <v>35</v>
      </c>
      <c r="C202">
        <v>55</v>
      </c>
      <c r="D202">
        <v>4</v>
      </c>
      <c r="E202" s="2">
        <v>44301</v>
      </c>
      <c r="F202" s="3">
        <v>0.19460648148148149</v>
      </c>
      <c r="G202" s="2">
        <v>44305</v>
      </c>
      <c r="H202" s="3">
        <v>0.16143518518518518</v>
      </c>
      <c r="I202" t="s">
        <v>429</v>
      </c>
      <c r="J202" t="s">
        <v>592</v>
      </c>
      <c r="K202">
        <v>4</v>
      </c>
      <c r="L202">
        <v>3</v>
      </c>
      <c r="M202">
        <v>4</v>
      </c>
      <c r="N202">
        <v>1904</v>
      </c>
    </row>
    <row r="203" spans="1:14" x14ac:dyDescent="0.3">
      <c r="A203">
        <v>202</v>
      </c>
      <c r="B203" t="s">
        <v>375</v>
      </c>
      <c r="C203">
        <v>36</v>
      </c>
      <c r="D203">
        <v>5</v>
      </c>
      <c r="E203" s="2">
        <v>44444</v>
      </c>
      <c r="F203" s="3">
        <v>0.34291666666666665</v>
      </c>
      <c r="G203" s="2">
        <v>44449</v>
      </c>
      <c r="H203" s="3">
        <v>0.12640046296296295</v>
      </c>
      <c r="I203" t="s">
        <v>433</v>
      </c>
      <c r="J203" t="s">
        <v>595</v>
      </c>
      <c r="K203">
        <v>8</v>
      </c>
      <c r="L203">
        <v>3</v>
      </c>
      <c r="M203">
        <v>5</v>
      </c>
      <c r="N203">
        <v>203</v>
      </c>
    </row>
    <row r="204" spans="1:14" x14ac:dyDescent="0.3">
      <c r="A204">
        <v>203</v>
      </c>
      <c r="B204" t="s">
        <v>179</v>
      </c>
      <c r="C204">
        <v>9</v>
      </c>
      <c r="D204">
        <v>5</v>
      </c>
      <c r="E204" s="2">
        <v>44527</v>
      </c>
      <c r="F204" s="3">
        <v>0.23541666666666666</v>
      </c>
      <c r="G204" s="2">
        <v>44533</v>
      </c>
      <c r="H204" s="3">
        <v>0.94460648148148152</v>
      </c>
      <c r="I204" t="s">
        <v>429</v>
      </c>
      <c r="J204" t="s">
        <v>597</v>
      </c>
      <c r="K204">
        <v>5</v>
      </c>
      <c r="L204">
        <v>22</v>
      </c>
      <c r="M204">
        <v>6</v>
      </c>
      <c r="N204">
        <v>1605</v>
      </c>
    </row>
    <row r="205" spans="1:14" x14ac:dyDescent="0.3">
      <c r="A205">
        <v>204</v>
      </c>
      <c r="B205" t="s">
        <v>269</v>
      </c>
      <c r="C205">
        <v>10</v>
      </c>
      <c r="D205">
        <v>4</v>
      </c>
      <c r="E205" s="2">
        <v>44396</v>
      </c>
      <c r="F205" s="3">
        <v>0.4491087962962963</v>
      </c>
      <c r="G205" s="2">
        <v>44399</v>
      </c>
      <c r="H205" s="3">
        <v>0.2701736111111111</v>
      </c>
      <c r="I205" t="s">
        <v>433</v>
      </c>
      <c r="J205" t="s">
        <v>590</v>
      </c>
      <c r="K205">
        <v>10</v>
      </c>
      <c r="L205">
        <v>6</v>
      </c>
      <c r="M205">
        <v>3</v>
      </c>
      <c r="N205">
        <v>259</v>
      </c>
    </row>
    <row r="206" spans="1:14" x14ac:dyDescent="0.3">
      <c r="A206">
        <v>205</v>
      </c>
      <c r="B206" t="s">
        <v>111</v>
      </c>
      <c r="C206">
        <v>46</v>
      </c>
      <c r="D206">
        <v>5</v>
      </c>
      <c r="E206" s="2">
        <v>44500</v>
      </c>
      <c r="F206" s="3">
        <v>0.22038194444444445</v>
      </c>
      <c r="G206" s="2">
        <v>44503</v>
      </c>
      <c r="H206" s="3">
        <v>0.49111111111111111</v>
      </c>
      <c r="I206" t="s">
        <v>437</v>
      </c>
      <c r="J206" t="s">
        <v>587</v>
      </c>
      <c r="K206">
        <v>5</v>
      </c>
      <c r="L206">
        <v>11</v>
      </c>
      <c r="M206">
        <v>3</v>
      </c>
      <c r="N206">
        <v>758</v>
      </c>
    </row>
    <row r="207" spans="1:14" x14ac:dyDescent="0.3">
      <c r="A207">
        <v>206</v>
      </c>
      <c r="B207" t="s">
        <v>413</v>
      </c>
      <c r="C207">
        <v>68</v>
      </c>
      <c r="D207">
        <v>3</v>
      </c>
      <c r="E207" s="2">
        <v>44564</v>
      </c>
      <c r="F207" s="3">
        <v>0.92518518518518522</v>
      </c>
      <c r="G207" s="2">
        <v>44570</v>
      </c>
      <c r="H207" s="3">
        <v>0.52917824074074071</v>
      </c>
      <c r="I207" t="s">
        <v>591</v>
      </c>
      <c r="J207" t="s">
        <v>598</v>
      </c>
      <c r="K207">
        <v>22</v>
      </c>
      <c r="L207">
        <v>12</v>
      </c>
      <c r="M207">
        <v>6</v>
      </c>
      <c r="N207">
        <v>597</v>
      </c>
    </row>
    <row r="208" spans="1:14" x14ac:dyDescent="0.3">
      <c r="A208">
        <v>207</v>
      </c>
      <c r="B208" t="s">
        <v>332</v>
      </c>
      <c r="C208">
        <v>6</v>
      </c>
      <c r="D208">
        <v>2</v>
      </c>
      <c r="E208" s="2">
        <v>44476</v>
      </c>
      <c r="F208" s="3">
        <v>5.0879629629629629E-2</v>
      </c>
      <c r="G208" s="2">
        <v>44478</v>
      </c>
      <c r="H208" s="3">
        <v>0.51106481481481481</v>
      </c>
      <c r="I208" t="s">
        <v>433</v>
      </c>
      <c r="J208" t="s">
        <v>587</v>
      </c>
      <c r="K208">
        <v>1</v>
      </c>
      <c r="L208">
        <v>12</v>
      </c>
      <c r="M208">
        <v>2</v>
      </c>
      <c r="N208">
        <v>1112</v>
      </c>
    </row>
    <row r="209" spans="1:14" x14ac:dyDescent="0.3">
      <c r="A209">
        <v>208</v>
      </c>
      <c r="B209" t="s">
        <v>18</v>
      </c>
      <c r="C209">
        <v>18</v>
      </c>
      <c r="D209">
        <v>5</v>
      </c>
      <c r="E209" s="2">
        <v>44563</v>
      </c>
      <c r="F209" s="3">
        <v>0.18804398148148149</v>
      </c>
      <c r="G209" s="2">
        <v>44565</v>
      </c>
      <c r="H209" s="3">
        <v>0.29625000000000001</v>
      </c>
      <c r="I209" t="s">
        <v>433</v>
      </c>
      <c r="J209" t="s">
        <v>598</v>
      </c>
      <c r="K209">
        <v>4</v>
      </c>
      <c r="L209">
        <v>7</v>
      </c>
      <c r="M209">
        <v>2</v>
      </c>
      <c r="N209">
        <v>781</v>
      </c>
    </row>
    <row r="210" spans="1:14" x14ac:dyDescent="0.3">
      <c r="A210">
        <v>209</v>
      </c>
      <c r="B210" t="s">
        <v>304</v>
      </c>
      <c r="C210">
        <v>70</v>
      </c>
      <c r="D210">
        <v>2</v>
      </c>
      <c r="E210" s="2">
        <v>44559</v>
      </c>
      <c r="F210" s="3">
        <v>3.0925925925925926E-2</v>
      </c>
      <c r="G210" s="2">
        <v>44565</v>
      </c>
      <c r="H210" s="3">
        <v>0.90592592592592591</v>
      </c>
      <c r="I210" t="s">
        <v>433</v>
      </c>
      <c r="J210" t="s">
        <v>588</v>
      </c>
      <c r="K210">
        <v>0</v>
      </c>
      <c r="L210">
        <v>21</v>
      </c>
      <c r="M210">
        <v>6</v>
      </c>
      <c r="N210">
        <v>866</v>
      </c>
    </row>
    <row r="211" spans="1:14" x14ac:dyDescent="0.3">
      <c r="A211">
        <v>210</v>
      </c>
      <c r="B211" t="s">
        <v>397</v>
      </c>
      <c r="C211">
        <v>32</v>
      </c>
      <c r="D211">
        <v>4</v>
      </c>
      <c r="E211" s="2">
        <v>44541</v>
      </c>
      <c r="F211" s="3">
        <v>3.2314814814814817E-2</v>
      </c>
      <c r="G211" s="2">
        <v>44546</v>
      </c>
      <c r="H211" s="3">
        <v>0.33512731481481484</v>
      </c>
      <c r="I211" t="s">
        <v>433</v>
      </c>
      <c r="J211" t="s">
        <v>588</v>
      </c>
      <c r="K211">
        <v>0</v>
      </c>
      <c r="L211">
        <v>8</v>
      </c>
      <c r="M211">
        <v>5</v>
      </c>
      <c r="N211">
        <v>1792</v>
      </c>
    </row>
    <row r="212" spans="1:14" x14ac:dyDescent="0.3">
      <c r="A212">
        <v>211</v>
      </c>
      <c r="B212" t="s">
        <v>195</v>
      </c>
      <c r="C212">
        <v>31</v>
      </c>
      <c r="D212">
        <v>5</v>
      </c>
      <c r="E212" s="2">
        <v>44256</v>
      </c>
      <c r="F212" s="3">
        <v>0.76040509259259259</v>
      </c>
      <c r="G212" s="2">
        <v>44259</v>
      </c>
      <c r="H212" s="3">
        <v>0.73614583333333339</v>
      </c>
      <c r="I212" t="s">
        <v>594</v>
      </c>
      <c r="J212" t="s">
        <v>589</v>
      </c>
      <c r="K212">
        <v>18</v>
      </c>
      <c r="L212">
        <v>17</v>
      </c>
      <c r="M212">
        <v>3</v>
      </c>
      <c r="N212">
        <v>1804</v>
      </c>
    </row>
    <row r="213" spans="1:14" x14ac:dyDescent="0.3">
      <c r="A213">
        <v>212</v>
      </c>
      <c r="B213" t="s">
        <v>390</v>
      </c>
      <c r="C213">
        <v>7</v>
      </c>
      <c r="D213">
        <v>2</v>
      </c>
      <c r="E213" s="2">
        <v>44265</v>
      </c>
      <c r="F213" s="3">
        <v>0.30185185185185187</v>
      </c>
      <c r="G213" s="2">
        <v>44270</v>
      </c>
      <c r="H213" s="3">
        <v>0.83454861111111112</v>
      </c>
      <c r="I213" t="s">
        <v>433</v>
      </c>
      <c r="J213" t="s">
        <v>589</v>
      </c>
      <c r="K213">
        <v>7</v>
      </c>
      <c r="L213">
        <v>20</v>
      </c>
      <c r="M213">
        <v>5</v>
      </c>
      <c r="N213">
        <v>409</v>
      </c>
    </row>
    <row r="214" spans="1:14" x14ac:dyDescent="0.3">
      <c r="A214">
        <v>213</v>
      </c>
      <c r="B214" t="s">
        <v>111</v>
      </c>
      <c r="C214">
        <v>42</v>
      </c>
      <c r="D214">
        <v>5</v>
      </c>
      <c r="E214" s="2">
        <v>44486</v>
      </c>
      <c r="F214" s="3">
        <v>0.35159722222222223</v>
      </c>
      <c r="G214" s="2">
        <v>44489</v>
      </c>
      <c r="H214" s="3">
        <v>0.37373842592592593</v>
      </c>
      <c r="I214" t="s">
        <v>594</v>
      </c>
      <c r="J214" t="s">
        <v>587</v>
      </c>
      <c r="K214">
        <v>8</v>
      </c>
      <c r="L214">
        <v>8</v>
      </c>
      <c r="M214">
        <v>3</v>
      </c>
      <c r="N214">
        <v>1744</v>
      </c>
    </row>
    <row r="215" spans="1:14" x14ac:dyDescent="0.3">
      <c r="A215">
        <v>214</v>
      </c>
      <c r="B215" t="s">
        <v>413</v>
      </c>
      <c r="C215">
        <v>13</v>
      </c>
      <c r="D215">
        <v>3</v>
      </c>
      <c r="E215" s="2">
        <v>44437</v>
      </c>
      <c r="F215" s="3">
        <v>0.32633101851851853</v>
      </c>
      <c r="G215" s="2">
        <v>44441</v>
      </c>
      <c r="H215" s="3">
        <v>0.35237268518518516</v>
      </c>
      <c r="I215" t="s">
        <v>433</v>
      </c>
      <c r="J215" t="s">
        <v>596</v>
      </c>
      <c r="K215">
        <v>7</v>
      </c>
      <c r="L215">
        <v>8</v>
      </c>
      <c r="M215">
        <v>4</v>
      </c>
      <c r="N215">
        <v>1141</v>
      </c>
    </row>
    <row r="216" spans="1:14" x14ac:dyDescent="0.3">
      <c r="A216">
        <v>215</v>
      </c>
      <c r="B216" t="s">
        <v>409</v>
      </c>
      <c r="C216">
        <v>17</v>
      </c>
      <c r="D216">
        <v>1</v>
      </c>
      <c r="E216" s="2">
        <v>44333</v>
      </c>
      <c r="F216" s="3">
        <v>0.16280092592592593</v>
      </c>
      <c r="G216" s="2">
        <v>44335</v>
      </c>
      <c r="H216" s="3">
        <v>0.52608796296296301</v>
      </c>
      <c r="I216" t="s">
        <v>437</v>
      </c>
      <c r="J216" t="s">
        <v>593</v>
      </c>
      <c r="K216">
        <v>3</v>
      </c>
      <c r="L216">
        <v>12</v>
      </c>
      <c r="M216">
        <v>2</v>
      </c>
      <c r="N216">
        <v>1899</v>
      </c>
    </row>
    <row r="217" spans="1:14" x14ac:dyDescent="0.3">
      <c r="A217">
        <v>216</v>
      </c>
      <c r="B217" t="s">
        <v>35</v>
      </c>
      <c r="C217">
        <v>23</v>
      </c>
      <c r="D217">
        <v>1</v>
      </c>
      <c r="E217" s="2">
        <v>44449</v>
      </c>
      <c r="F217" s="3">
        <v>0.65734953703703702</v>
      </c>
      <c r="G217" s="2">
        <v>44451</v>
      </c>
      <c r="H217" s="3">
        <v>0.8656018518518519</v>
      </c>
      <c r="I217" t="s">
        <v>437</v>
      </c>
      <c r="J217" t="s">
        <v>595</v>
      </c>
      <c r="K217">
        <v>15</v>
      </c>
      <c r="L217">
        <v>20</v>
      </c>
      <c r="M217">
        <v>2</v>
      </c>
      <c r="N217">
        <v>1098</v>
      </c>
    </row>
    <row r="218" spans="1:14" x14ac:dyDescent="0.3">
      <c r="A218">
        <v>217</v>
      </c>
      <c r="B218" t="s">
        <v>191</v>
      </c>
      <c r="C218">
        <v>53</v>
      </c>
      <c r="D218">
        <v>4</v>
      </c>
      <c r="E218" s="2">
        <v>44441</v>
      </c>
      <c r="F218" s="3">
        <v>0.12817129629629628</v>
      </c>
      <c r="G218" s="2">
        <v>44445</v>
      </c>
      <c r="H218" s="3">
        <v>0.69605324074074071</v>
      </c>
      <c r="I218" t="s">
        <v>429</v>
      </c>
      <c r="J218" t="s">
        <v>595</v>
      </c>
      <c r="K218">
        <v>3</v>
      </c>
      <c r="L218">
        <v>16</v>
      </c>
      <c r="M218">
        <v>4</v>
      </c>
      <c r="N218">
        <v>1672</v>
      </c>
    </row>
    <row r="219" spans="1:14" x14ac:dyDescent="0.3">
      <c r="A219">
        <v>218</v>
      </c>
      <c r="B219" t="s">
        <v>265</v>
      </c>
      <c r="C219">
        <v>31</v>
      </c>
      <c r="D219">
        <v>4</v>
      </c>
      <c r="E219" s="2">
        <v>44395</v>
      </c>
      <c r="F219" s="3">
        <v>0.95498842592592592</v>
      </c>
      <c r="G219" s="2">
        <v>44400</v>
      </c>
      <c r="H219" s="3">
        <v>0.12917824074074075</v>
      </c>
      <c r="I219" t="s">
        <v>594</v>
      </c>
      <c r="J219" t="s">
        <v>590</v>
      </c>
      <c r="K219">
        <v>22</v>
      </c>
      <c r="L219">
        <v>3</v>
      </c>
      <c r="M219">
        <v>5</v>
      </c>
      <c r="N219">
        <v>1804</v>
      </c>
    </row>
    <row r="220" spans="1:14" x14ac:dyDescent="0.3">
      <c r="A220">
        <v>219</v>
      </c>
      <c r="B220" t="s">
        <v>131</v>
      </c>
      <c r="C220">
        <v>16</v>
      </c>
      <c r="D220">
        <v>5</v>
      </c>
      <c r="E220" s="2">
        <v>44406</v>
      </c>
      <c r="F220" s="3">
        <v>2.508101851851852E-2</v>
      </c>
      <c r="G220" s="2">
        <v>44411</v>
      </c>
      <c r="H220" s="3">
        <v>0.44172453703703701</v>
      </c>
      <c r="I220" t="s">
        <v>433</v>
      </c>
      <c r="J220" t="s">
        <v>590</v>
      </c>
      <c r="K220">
        <v>0</v>
      </c>
      <c r="L220">
        <v>10</v>
      </c>
      <c r="M220">
        <v>5</v>
      </c>
      <c r="N220">
        <v>1721</v>
      </c>
    </row>
    <row r="221" spans="1:14" x14ac:dyDescent="0.3">
      <c r="A221">
        <v>220</v>
      </c>
      <c r="B221" t="s">
        <v>18</v>
      </c>
      <c r="C221">
        <v>26</v>
      </c>
      <c r="D221">
        <v>3</v>
      </c>
      <c r="E221" s="2">
        <v>44559</v>
      </c>
      <c r="F221" s="3">
        <v>0.51868055555555559</v>
      </c>
      <c r="G221" s="2">
        <v>44565</v>
      </c>
      <c r="H221" s="3">
        <v>0.6124074074074074</v>
      </c>
      <c r="I221" t="s">
        <v>433</v>
      </c>
      <c r="J221" t="s">
        <v>588</v>
      </c>
      <c r="K221">
        <v>12</v>
      </c>
      <c r="L221">
        <v>14</v>
      </c>
      <c r="M221">
        <v>6</v>
      </c>
      <c r="N221">
        <v>289</v>
      </c>
    </row>
    <row r="222" spans="1:14" x14ac:dyDescent="0.3">
      <c r="A222">
        <v>221</v>
      </c>
      <c r="B222" t="s">
        <v>324</v>
      </c>
      <c r="C222">
        <v>28</v>
      </c>
      <c r="D222">
        <v>4</v>
      </c>
      <c r="E222" s="2">
        <v>44254</v>
      </c>
      <c r="F222" s="3">
        <v>9.1018518518518512E-2</v>
      </c>
      <c r="G222" s="2">
        <v>44256</v>
      </c>
      <c r="H222" s="3">
        <v>0.58373842592592595</v>
      </c>
      <c r="I222" t="s">
        <v>429</v>
      </c>
      <c r="J222" t="s">
        <v>599</v>
      </c>
      <c r="K222">
        <v>2</v>
      </c>
      <c r="L222">
        <v>14</v>
      </c>
      <c r="M222">
        <v>2</v>
      </c>
      <c r="N222">
        <v>1778</v>
      </c>
    </row>
    <row r="223" spans="1:14" x14ac:dyDescent="0.3">
      <c r="A223">
        <v>222</v>
      </c>
      <c r="B223" t="s">
        <v>413</v>
      </c>
      <c r="C223">
        <v>6</v>
      </c>
      <c r="D223">
        <v>5</v>
      </c>
      <c r="E223" s="2">
        <v>44386</v>
      </c>
      <c r="F223" s="3">
        <v>0.24820601851851851</v>
      </c>
      <c r="G223" s="2">
        <v>44389</v>
      </c>
      <c r="H223" s="3">
        <v>0.76446759259259256</v>
      </c>
      <c r="I223" t="s">
        <v>433</v>
      </c>
      <c r="J223" t="s">
        <v>590</v>
      </c>
      <c r="K223">
        <v>5</v>
      </c>
      <c r="L223">
        <v>18</v>
      </c>
      <c r="M223">
        <v>3</v>
      </c>
      <c r="N223">
        <v>1112</v>
      </c>
    </row>
    <row r="224" spans="1:14" x14ac:dyDescent="0.3">
      <c r="A224">
        <v>223</v>
      </c>
      <c r="B224" t="s">
        <v>226</v>
      </c>
      <c r="C224">
        <v>49</v>
      </c>
      <c r="D224">
        <v>2</v>
      </c>
      <c r="E224" s="2">
        <v>44552</v>
      </c>
      <c r="F224" s="3">
        <v>0.36417824074074073</v>
      </c>
      <c r="G224" s="2">
        <v>44557</v>
      </c>
      <c r="H224" s="3">
        <v>0.4291550925925926</v>
      </c>
      <c r="I224" t="s">
        <v>591</v>
      </c>
      <c r="J224" t="s">
        <v>588</v>
      </c>
      <c r="K224">
        <v>8</v>
      </c>
      <c r="L224">
        <v>10</v>
      </c>
      <c r="M224">
        <v>5</v>
      </c>
      <c r="N224">
        <v>903</v>
      </c>
    </row>
    <row r="225" spans="1:14" x14ac:dyDescent="0.3">
      <c r="A225">
        <v>224</v>
      </c>
      <c r="B225" t="s">
        <v>135</v>
      </c>
      <c r="C225">
        <v>34</v>
      </c>
      <c r="D225">
        <v>1</v>
      </c>
      <c r="E225" s="2">
        <v>44496</v>
      </c>
      <c r="F225" s="3">
        <v>0.8763657407407407</v>
      </c>
      <c r="G225" s="2">
        <v>44499</v>
      </c>
      <c r="H225" s="3">
        <v>8.7962962962962965E-2</v>
      </c>
      <c r="I225" t="s">
        <v>429</v>
      </c>
      <c r="J225" t="s">
        <v>587</v>
      </c>
      <c r="K225">
        <v>21</v>
      </c>
      <c r="L225">
        <v>2</v>
      </c>
      <c r="M225">
        <v>3</v>
      </c>
      <c r="N225">
        <v>1335</v>
      </c>
    </row>
    <row r="226" spans="1:14" x14ac:dyDescent="0.3">
      <c r="A226">
        <v>225</v>
      </c>
      <c r="B226" t="s">
        <v>390</v>
      </c>
      <c r="C226">
        <v>52</v>
      </c>
      <c r="D226">
        <v>5</v>
      </c>
      <c r="E226" s="2">
        <v>44427</v>
      </c>
      <c r="F226" s="3">
        <v>0.50863425925925931</v>
      </c>
      <c r="G226" s="2">
        <v>44429</v>
      </c>
      <c r="H226" s="3">
        <v>0.7507638888888889</v>
      </c>
      <c r="I226" t="s">
        <v>591</v>
      </c>
      <c r="J226" t="s">
        <v>596</v>
      </c>
      <c r="K226">
        <v>12</v>
      </c>
      <c r="L226">
        <v>18</v>
      </c>
      <c r="M226">
        <v>2</v>
      </c>
      <c r="N226">
        <v>236</v>
      </c>
    </row>
    <row r="227" spans="1:14" x14ac:dyDescent="0.3">
      <c r="A227">
        <v>226</v>
      </c>
      <c r="B227" t="s">
        <v>277</v>
      </c>
      <c r="C227">
        <v>14</v>
      </c>
      <c r="D227">
        <v>2</v>
      </c>
      <c r="E227" s="2">
        <v>44270</v>
      </c>
      <c r="F227" s="3">
        <v>0.36724537037037036</v>
      </c>
      <c r="G227" s="2">
        <v>44276</v>
      </c>
      <c r="H227" s="3">
        <v>0.47263888888888889</v>
      </c>
      <c r="I227" t="s">
        <v>433</v>
      </c>
      <c r="J227" t="s">
        <v>589</v>
      </c>
      <c r="K227">
        <v>8</v>
      </c>
      <c r="L227">
        <v>11</v>
      </c>
      <c r="M227">
        <v>6</v>
      </c>
      <c r="N227">
        <v>1915</v>
      </c>
    </row>
    <row r="228" spans="1:14" x14ac:dyDescent="0.3">
      <c r="A228">
        <v>227</v>
      </c>
      <c r="B228" t="s">
        <v>35</v>
      </c>
      <c r="C228">
        <v>24</v>
      </c>
      <c r="D228">
        <v>4</v>
      </c>
      <c r="E228" s="2">
        <v>44240</v>
      </c>
      <c r="F228" s="3">
        <v>0.78520833333333329</v>
      </c>
      <c r="G228" s="2">
        <v>44246</v>
      </c>
      <c r="H228" s="3">
        <v>0.59009259259259261</v>
      </c>
      <c r="I228" t="s">
        <v>433</v>
      </c>
      <c r="J228" t="s">
        <v>599</v>
      </c>
      <c r="K228">
        <v>18</v>
      </c>
      <c r="L228">
        <v>14</v>
      </c>
      <c r="M228">
        <v>6</v>
      </c>
      <c r="N228">
        <v>535</v>
      </c>
    </row>
    <row r="229" spans="1:14" x14ac:dyDescent="0.3">
      <c r="A229">
        <v>228</v>
      </c>
      <c r="B229" t="s">
        <v>163</v>
      </c>
      <c r="C229">
        <v>36</v>
      </c>
      <c r="D229">
        <v>1</v>
      </c>
      <c r="E229" s="2">
        <v>44241</v>
      </c>
      <c r="F229" s="3">
        <v>0.77837962962962959</v>
      </c>
      <c r="G229" s="2">
        <v>44247</v>
      </c>
      <c r="H229" s="3">
        <v>0.4375</v>
      </c>
      <c r="I229" t="s">
        <v>433</v>
      </c>
      <c r="J229" t="s">
        <v>599</v>
      </c>
      <c r="K229">
        <v>18</v>
      </c>
      <c r="L229">
        <v>10</v>
      </c>
      <c r="M229">
        <v>6</v>
      </c>
      <c r="N229">
        <v>203</v>
      </c>
    </row>
    <row r="230" spans="1:14" x14ac:dyDescent="0.3">
      <c r="A230">
        <v>229</v>
      </c>
      <c r="B230" t="s">
        <v>336</v>
      </c>
      <c r="C230">
        <v>49</v>
      </c>
      <c r="D230">
        <v>3</v>
      </c>
      <c r="E230" s="2">
        <v>44560</v>
      </c>
      <c r="F230" s="3">
        <v>0.8719675925925926</v>
      </c>
      <c r="G230" s="2">
        <v>44563</v>
      </c>
      <c r="H230" s="3">
        <v>0.39780092592592592</v>
      </c>
      <c r="I230" t="s">
        <v>591</v>
      </c>
      <c r="J230" t="s">
        <v>588</v>
      </c>
      <c r="K230">
        <v>20</v>
      </c>
      <c r="L230">
        <v>9</v>
      </c>
      <c r="M230">
        <v>3</v>
      </c>
      <c r="N230">
        <v>903</v>
      </c>
    </row>
    <row r="231" spans="1:14" x14ac:dyDescent="0.3">
      <c r="A231">
        <v>230</v>
      </c>
      <c r="B231" t="s">
        <v>234</v>
      </c>
      <c r="C231">
        <v>64</v>
      </c>
      <c r="D231">
        <v>3</v>
      </c>
      <c r="E231" s="2">
        <v>44517</v>
      </c>
      <c r="F231" s="3">
        <v>0.35266203703703702</v>
      </c>
      <c r="G231" s="2">
        <v>44519</v>
      </c>
      <c r="H231" s="3">
        <v>6.653935185185185E-2</v>
      </c>
      <c r="I231" t="s">
        <v>429</v>
      </c>
      <c r="J231" t="s">
        <v>597</v>
      </c>
      <c r="K231">
        <v>8</v>
      </c>
      <c r="L231">
        <v>1</v>
      </c>
      <c r="M231">
        <v>2</v>
      </c>
      <c r="N231">
        <v>1878</v>
      </c>
    </row>
    <row r="232" spans="1:14" x14ac:dyDescent="0.3">
      <c r="A232">
        <v>231</v>
      </c>
      <c r="B232" t="s">
        <v>390</v>
      </c>
      <c r="C232">
        <v>64</v>
      </c>
      <c r="D232">
        <v>3</v>
      </c>
      <c r="E232" s="2">
        <v>44359</v>
      </c>
      <c r="F232" s="3">
        <v>0.385625</v>
      </c>
      <c r="G232" s="2">
        <v>44363</v>
      </c>
      <c r="H232" s="3">
        <v>0.8840393518518519</v>
      </c>
      <c r="I232" t="s">
        <v>429</v>
      </c>
      <c r="J232" t="s">
        <v>586</v>
      </c>
      <c r="K232">
        <v>9</v>
      </c>
      <c r="L232">
        <v>21</v>
      </c>
      <c r="M232">
        <v>4</v>
      </c>
      <c r="N232">
        <v>1878</v>
      </c>
    </row>
    <row r="233" spans="1:14" x14ac:dyDescent="0.3">
      <c r="A233">
        <v>232</v>
      </c>
      <c r="B233" t="s">
        <v>199</v>
      </c>
      <c r="C233">
        <v>28</v>
      </c>
      <c r="D233">
        <v>3</v>
      </c>
      <c r="E233" s="2">
        <v>44232</v>
      </c>
      <c r="F233" s="3">
        <v>0.50427083333333333</v>
      </c>
      <c r="G233" s="2">
        <v>44235</v>
      </c>
      <c r="H233" s="3">
        <v>0.37502314814814813</v>
      </c>
      <c r="I233" t="s">
        <v>429</v>
      </c>
      <c r="J233" t="s">
        <v>599</v>
      </c>
      <c r="K233">
        <v>12</v>
      </c>
      <c r="L233">
        <v>9</v>
      </c>
      <c r="M233">
        <v>3</v>
      </c>
      <c r="N233">
        <v>1778</v>
      </c>
    </row>
    <row r="234" spans="1:14" x14ac:dyDescent="0.3">
      <c r="A234">
        <v>233</v>
      </c>
      <c r="B234" t="s">
        <v>409</v>
      </c>
      <c r="C234">
        <v>64</v>
      </c>
      <c r="D234">
        <v>4</v>
      </c>
      <c r="E234" s="2">
        <v>44447</v>
      </c>
      <c r="F234" s="3">
        <v>0.92730324074074078</v>
      </c>
      <c r="G234" s="2">
        <v>44452</v>
      </c>
      <c r="H234" s="3">
        <v>0.17197916666666666</v>
      </c>
      <c r="I234" t="s">
        <v>429</v>
      </c>
      <c r="J234" t="s">
        <v>595</v>
      </c>
      <c r="K234">
        <v>22</v>
      </c>
      <c r="L234">
        <v>4</v>
      </c>
      <c r="M234">
        <v>5</v>
      </c>
      <c r="N234">
        <v>1878</v>
      </c>
    </row>
    <row r="235" spans="1:14" x14ac:dyDescent="0.3">
      <c r="A235">
        <v>234</v>
      </c>
      <c r="B235" t="s">
        <v>405</v>
      </c>
      <c r="C235">
        <v>42</v>
      </c>
      <c r="D235">
        <v>1</v>
      </c>
      <c r="E235" s="2">
        <v>44462</v>
      </c>
      <c r="F235" s="3">
        <v>0.88763888888888887</v>
      </c>
      <c r="G235" s="2">
        <v>44468</v>
      </c>
      <c r="H235" s="3">
        <v>2.5613425925925925E-2</v>
      </c>
      <c r="I235" t="s">
        <v>594</v>
      </c>
      <c r="J235" t="s">
        <v>595</v>
      </c>
      <c r="K235">
        <v>21</v>
      </c>
      <c r="L235">
        <v>0</v>
      </c>
      <c r="M235">
        <v>6</v>
      </c>
      <c r="N235">
        <v>1744</v>
      </c>
    </row>
    <row r="236" spans="1:14" x14ac:dyDescent="0.3">
      <c r="A236">
        <v>235</v>
      </c>
      <c r="B236" t="s">
        <v>304</v>
      </c>
      <c r="C236">
        <v>56</v>
      </c>
      <c r="D236">
        <v>2</v>
      </c>
      <c r="E236" s="2">
        <v>44264</v>
      </c>
      <c r="F236" s="3">
        <v>0.60192129629629632</v>
      </c>
      <c r="G236" s="2">
        <v>44269</v>
      </c>
      <c r="H236" s="3">
        <v>0.97665509259259264</v>
      </c>
      <c r="I236" t="s">
        <v>437</v>
      </c>
      <c r="J236" t="s">
        <v>589</v>
      </c>
      <c r="K236">
        <v>14</v>
      </c>
      <c r="L236">
        <v>23</v>
      </c>
      <c r="M236">
        <v>5</v>
      </c>
      <c r="N236">
        <v>1272</v>
      </c>
    </row>
    <row r="237" spans="1:14" x14ac:dyDescent="0.3">
      <c r="A237">
        <v>236</v>
      </c>
      <c r="B237" t="s">
        <v>199</v>
      </c>
      <c r="C237">
        <v>23</v>
      </c>
      <c r="D237">
        <v>5</v>
      </c>
      <c r="E237" s="2">
        <v>44322</v>
      </c>
      <c r="F237" s="3">
        <v>0.27351851851851849</v>
      </c>
      <c r="G237" s="2">
        <v>44324</v>
      </c>
      <c r="H237" s="3">
        <v>9.0486111111111114E-2</v>
      </c>
      <c r="I237" t="s">
        <v>437</v>
      </c>
      <c r="J237" t="s">
        <v>593</v>
      </c>
      <c r="K237">
        <v>6</v>
      </c>
      <c r="L237">
        <v>2</v>
      </c>
      <c r="M237">
        <v>2</v>
      </c>
      <c r="N237">
        <v>1098</v>
      </c>
    </row>
    <row r="238" spans="1:14" x14ac:dyDescent="0.3">
      <c r="A238">
        <v>237</v>
      </c>
      <c r="B238" t="s">
        <v>119</v>
      </c>
      <c r="C238">
        <v>55</v>
      </c>
      <c r="D238">
        <v>1</v>
      </c>
      <c r="E238" s="2">
        <v>44361</v>
      </c>
      <c r="F238" s="3">
        <v>0.39158564814814817</v>
      </c>
      <c r="G238" s="2">
        <v>44367</v>
      </c>
      <c r="H238" s="3">
        <v>0.34675925925925927</v>
      </c>
      <c r="I238" t="s">
        <v>429</v>
      </c>
      <c r="J238" t="s">
        <v>586</v>
      </c>
      <c r="K238">
        <v>9</v>
      </c>
      <c r="L238">
        <v>8</v>
      </c>
      <c r="M238">
        <v>6</v>
      </c>
      <c r="N238">
        <v>1904</v>
      </c>
    </row>
    <row r="239" spans="1:14" x14ac:dyDescent="0.3">
      <c r="A239">
        <v>238</v>
      </c>
      <c r="B239" t="s">
        <v>351</v>
      </c>
      <c r="C239">
        <v>26</v>
      </c>
      <c r="D239">
        <v>4</v>
      </c>
      <c r="E239" s="2">
        <v>44234</v>
      </c>
      <c r="F239" s="3">
        <v>0.33105324074074072</v>
      </c>
      <c r="G239" s="2">
        <v>44240</v>
      </c>
      <c r="H239" s="3">
        <v>0.84603009259259254</v>
      </c>
      <c r="I239" t="s">
        <v>433</v>
      </c>
      <c r="J239" t="s">
        <v>599</v>
      </c>
      <c r="K239">
        <v>7</v>
      </c>
      <c r="L239">
        <v>20</v>
      </c>
      <c r="M239">
        <v>6</v>
      </c>
      <c r="N239">
        <v>289</v>
      </c>
    </row>
    <row r="240" spans="1:14" x14ac:dyDescent="0.3">
      <c r="A240">
        <v>239</v>
      </c>
      <c r="B240" t="s">
        <v>371</v>
      </c>
      <c r="C240">
        <v>27</v>
      </c>
      <c r="D240">
        <v>3</v>
      </c>
      <c r="E240" s="2">
        <v>44224</v>
      </c>
      <c r="F240" s="3">
        <v>0.35677083333333331</v>
      </c>
      <c r="G240" s="2">
        <v>44227</v>
      </c>
      <c r="H240" s="3">
        <v>0.55773148148148144</v>
      </c>
      <c r="I240" t="s">
        <v>429</v>
      </c>
      <c r="J240" t="s">
        <v>598</v>
      </c>
      <c r="K240">
        <v>8</v>
      </c>
      <c r="L240">
        <v>13</v>
      </c>
      <c r="M240">
        <v>3</v>
      </c>
      <c r="N240">
        <v>548</v>
      </c>
    </row>
    <row r="241" spans="1:14" x14ac:dyDescent="0.3">
      <c r="A241">
        <v>240</v>
      </c>
      <c r="B241" t="s">
        <v>316</v>
      </c>
      <c r="C241">
        <v>5</v>
      </c>
      <c r="D241">
        <v>5</v>
      </c>
      <c r="E241" s="2">
        <v>44397</v>
      </c>
      <c r="F241" s="3">
        <v>0.25252314814814814</v>
      </c>
      <c r="G241" s="2">
        <v>44400</v>
      </c>
      <c r="H241" s="3">
        <v>0.6551851851851852</v>
      </c>
      <c r="I241" t="s">
        <v>594</v>
      </c>
      <c r="J241" t="s">
        <v>590</v>
      </c>
      <c r="K241">
        <v>6</v>
      </c>
      <c r="L241">
        <v>15</v>
      </c>
      <c r="M241">
        <v>3</v>
      </c>
      <c r="N241">
        <v>1444</v>
      </c>
    </row>
    <row r="242" spans="1:14" x14ac:dyDescent="0.3">
      <c r="A242">
        <v>241</v>
      </c>
      <c r="B242" t="s">
        <v>288</v>
      </c>
      <c r="C242">
        <v>20</v>
      </c>
      <c r="D242">
        <v>2</v>
      </c>
      <c r="E242" s="2">
        <v>44347</v>
      </c>
      <c r="F242" s="3">
        <v>0.41129629629629627</v>
      </c>
      <c r="G242" s="2">
        <v>44349</v>
      </c>
      <c r="H242" s="3">
        <v>0.37385416666666665</v>
      </c>
      <c r="I242" t="s">
        <v>437</v>
      </c>
      <c r="J242" t="s">
        <v>593</v>
      </c>
      <c r="K242">
        <v>9</v>
      </c>
      <c r="L242">
        <v>8</v>
      </c>
      <c r="M242">
        <v>2</v>
      </c>
      <c r="N242">
        <v>697</v>
      </c>
    </row>
    <row r="243" spans="1:14" x14ac:dyDescent="0.3">
      <c r="A243">
        <v>242</v>
      </c>
      <c r="B243" t="s">
        <v>70</v>
      </c>
      <c r="C243">
        <v>21</v>
      </c>
      <c r="D243">
        <v>1</v>
      </c>
      <c r="E243" s="2">
        <v>44346</v>
      </c>
      <c r="F243" s="3">
        <v>0.43386574074074075</v>
      </c>
      <c r="G243" s="2">
        <v>44350</v>
      </c>
      <c r="H243" s="3">
        <v>0.66842592592592598</v>
      </c>
      <c r="I243" t="s">
        <v>429</v>
      </c>
      <c r="J243" t="s">
        <v>593</v>
      </c>
      <c r="K243">
        <v>10</v>
      </c>
      <c r="L243">
        <v>16</v>
      </c>
      <c r="M243">
        <v>4</v>
      </c>
      <c r="N243">
        <v>1561</v>
      </c>
    </row>
    <row r="244" spans="1:14" x14ac:dyDescent="0.3">
      <c r="A244">
        <v>243</v>
      </c>
      <c r="B244" t="s">
        <v>195</v>
      </c>
      <c r="C244">
        <v>3</v>
      </c>
      <c r="D244">
        <v>1</v>
      </c>
      <c r="E244" s="2">
        <v>44435</v>
      </c>
      <c r="F244" s="3">
        <v>0.86848379629629635</v>
      </c>
      <c r="G244" s="2">
        <v>44438</v>
      </c>
      <c r="H244" s="3">
        <v>0.52145833333333336</v>
      </c>
      <c r="I244" t="s">
        <v>591</v>
      </c>
      <c r="J244" t="s">
        <v>596</v>
      </c>
      <c r="K244">
        <v>20</v>
      </c>
      <c r="L244">
        <v>12</v>
      </c>
      <c r="M244">
        <v>3</v>
      </c>
      <c r="N244">
        <v>1534</v>
      </c>
    </row>
    <row r="245" spans="1:14" x14ac:dyDescent="0.3">
      <c r="A245">
        <v>244</v>
      </c>
      <c r="B245" t="s">
        <v>187</v>
      </c>
      <c r="C245">
        <v>65</v>
      </c>
      <c r="D245">
        <v>3</v>
      </c>
      <c r="E245" s="2">
        <v>44470</v>
      </c>
      <c r="F245" s="3">
        <v>0.62917824074074069</v>
      </c>
      <c r="G245" s="2">
        <v>44472</v>
      </c>
      <c r="H245" s="3">
        <v>0.29629629629629628</v>
      </c>
      <c r="I245" t="s">
        <v>594</v>
      </c>
      <c r="J245" t="s">
        <v>587</v>
      </c>
      <c r="K245">
        <v>15</v>
      </c>
      <c r="L245">
        <v>7</v>
      </c>
      <c r="M245">
        <v>2</v>
      </c>
      <c r="N245">
        <v>1895</v>
      </c>
    </row>
    <row r="246" spans="1:14" x14ac:dyDescent="0.3">
      <c r="A246">
        <v>245</v>
      </c>
      <c r="B246" t="s">
        <v>103</v>
      </c>
      <c r="C246">
        <v>50</v>
      </c>
      <c r="D246">
        <v>3</v>
      </c>
      <c r="E246" s="2">
        <v>44457</v>
      </c>
      <c r="F246" s="3">
        <v>0.26766203703703706</v>
      </c>
      <c r="G246" s="2">
        <v>44463</v>
      </c>
      <c r="H246" s="3">
        <v>0.39618055555555554</v>
      </c>
      <c r="I246" t="s">
        <v>433</v>
      </c>
      <c r="J246" t="s">
        <v>595</v>
      </c>
      <c r="K246">
        <v>6</v>
      </c>
      <c r="L246">
        <v>9</v>
      </c>
      <c r="M246">
        <v>6</v>
      </c>
      <c r="N246">
        <v>422</v>
      </c>
    </row>
    <row r="247" spans="1:14" x14ac:dyDescent="0.3">
      <c r="A247">
        <v>246</v>
      </c>
      <c r="B247" t="s">
        <v>91</v>
      </c>
      <c r="C247">
        <v>69</v>
      </c>
      <c r="D247">
        <v>5</v>
      </c>
      <c r="E247" s="2">
        <v>44458</v>
      </c>
      <c r="F247" s="3">
        <v>0.97538194444444448</v>
      </c>
      <c r="G247" s="2">
        <v>44462</v>
      </c>
      <c r="H247" s="3">
        <v>2.6956018518518518E-2</v>
      </c>
      <c r="I247" t="s">
        <v>433</v>
      </c>
      <c r="J247" t="s">
        <v>595</v>
      </c>
      <c r="K247">
        <v>23</v>
      </c>
      <c r="L247">
        <v>0</v>
      </c>
      <c r="M247">
        <v>4</v>
      </c>
      <c r="N247">
        <v>998</v>
      </c>
    </row>
    <row r="248" spans="1:14" x14ac:dyDescent="0.3">
      <c r="A248">
        <v>247</v>
      </c>
      <c r="B248" t="s">
        <v>230</v>
      </c>
      <c r="C248">
        <v>23</v>
      </c>
      <c r="D248">
        <v>4</v>
      </c>
      <c r="E248" s="2">
        <v>44453</v>
      </c>
      <c r="F248" s="3">
        <v>0.24916666666666668</v>
      </c>
      <c r="G248" s="2">
        <v>44458</v>
      </c>
      <c r="H248" s="3">
        <v>0.12414351851851851</v>
      </c>
      <c r="I248" t="s">
        <v>437</v>
      </c>
      <c r="J248" t="s">
        <v>595</v>
      </c>
      <c r="K248">
        <v>5</v>
      </c>
      <c r="L248">
        <v>2</v>
      </c>
      <c r="M248">
        <v>5</v>
      </c>
      <c r="N248">
        <v>1098</v>
      </c>
    </row>
    <row r="249" spans="1:14" x14ac:dyDescent="0.3">
      <c r="A249">
        <v>248</v>
      </c>
      <c r="B249" t="s">
        <v>199</v>
      </c>
      <c r="C249">
        <v>19</v>
      </c>
      <c r="D249">
        <v>5</v>
      </c>
      <c r="E249" s="2">
        <v>44464</v>
      </c>
      <c r="F249" s="3">
        <v>0.36366898148148147</v>
      </c>
      <c r="G249" s="2">
        <v>44469</v>
      </c>
      <c r="H249" s="3">
        <v>0.17709490740740741</v>
      </c>
      <c r="I249" t="s">
        <v>591</v>
      </c>
      <c r="J249" t="s">
        <v>595</v>
      </c>
      <c r="K249">
        <v>8</v>
      </c>
      <c r="L249">
        <v>4</v>
      </c>
      <c r="M249">
        <v>5</v>
      </c>
      <c r="N249">
        <v>1234</v>
      </c>
    </row>
    <row r="250" spans="1:14" x14ac:dyDescent="0.3">
      <c r="A250">
        <v>249</v>
      </c>
      <c r="B250" t="s">
        <v>30</v>
      </c>
      <c r="C250">
        <v>14</v>
      </c>
      <c r="D250">
        <v>2</v>
      </c>
      <c r="E250" s="2">
        <v>44410</v>
      </c>
      <c r="F250" s="3">
        <v>0.93212962962962964</v>
      </c>
      <c r="G250" s="2">
        <v>44415</v>
      </c>
      <c r="H250" s="3">
        <v>0.9705555555555555</v>
      </c>
      <c r="I250" t="s">
        <v>433</v>
      </c>
      <c r="J250" t="s">
        <v>596</v>
      </c>
      <c r="K250">
        <v>22</v>
      </c>
      <c r="L250">
        <v>23</v>
      </c>
      <c r="M250">
        <v>5</v>
      </c>
      <c r="N250">
        <v>1915</v>
      </c>
    </row>
    <row r="251" spans="1:14" x14ac:dyDescent="0.3">
      <c r="A251">
        <v>250</v>
      </c>
      <c r="B251" t="s">
        <v>363</v>
      </c>
      <c r="C251">
        <v>37</v>
      </c>
      <c r="D251">
        <v>5</v>
      </c>
      <c r="E251" s="2">
        <v>44259</v>
      </c>
      <c r="F251" s="3">
        <v>0.63017361111111114</v>
      </c>
      <c r="G251" s="2">
        <v>44261</v>
      </c>
      <c r="H251" s="3">
        <v>6.3958333333333339E-2</v>
      </c>
      <c r="I251" t="s">
        <v>429</v>
      </c>
      <c r="J251" t="s">
        <v>589</v>
      </c>
      <c r="K251">
        <v>15</v>
      </c>
      <c r="L251">
        <v>1</v>
      </c>
      <c r="M251">
        <v>2</v>
      </c>
      <c r="N251">
        <v>1428</v>
      </c>
    </row>
    <row r="252" spans="1:14" x14ac:dyDescent="0.3">
      <c r="A252">
        <v>251</v>
      </c>
      <c r="B252" t="s">
        <v>226</v>
      </c>
      <c r="C252">
        <v>7</v>
      </c>
      <c r="D252">
        <v>4</v>
      </c>
      <c r="E252" s="2">
        <v>44558</v>
      </c>
      <c r="F252" s="3">
        <v>2.2083333333333333E-2</v>
      </c>
      <c r="G252" s="2">
        <v>44560</v>
      </c>
      <c r="H252" s="3">
        <v>1.3703703703703704E-2</v>
      </c>
      <c r="I252" t="s">
        <v>433</v>
      </c>
      <c r="J252" t="s">
        <v>588</v>
      </c>
      <c r="K252">
        <v>0</v>
      </c>
      <c r="L252">
        <v>0</v>
      </c>
      <c r="M252">
        <v>2</v>
      </c>
      <c r="N252">
        <v>409</v>
      </c>
    </row>
    <row r="253" spans="1:14" x14ac:dyDescent="0.3">
      <c r="A253">
        <v>252</v>
      </c>
      <c r="B253" t="s">
        <v>183</v>
      </c>
      <c r="C253">
        <v>69</v>
      </c>
      <c r="D253">
        <v>2</v>
      </c>
      <c r="E253" s="2">
        <v>44555</v>
      </c>
      <c r="F253" s="3">
        <v>0.23712962962962963</v>
      </c>
      <c r="G253" s="2">
        <v>44558</v>
      </c>
      <c r="H253" s="3">
        <v>0.34115740740740741</v>
      </c>
      <c r="I253" t="s">
        <v>433</v>
      </c>
      <c r="J253" t="s">
        <v>588</v>
      </c>
      <c r="K253">
        <v>5</v>
      </c>
      <c r="L253">
        <v>8</v>
      </c>
      <c r="M253">
        <v>3</v>
      </c>
      <c r="N253">
        <v>998</v>
      </c>
    </row>
    <row r="254" spans="1:14" x14ac:dyDescent="0.3">
      <c r="A254">
        <v>253</v>
      </c>
      <c r="B254" t="s">
        <v>62</v>
      </c>
      <c r="C254">
        <v>68</v>
      </c>
      <c r="D254">
        <v>2</v>
      </c>
      <c r="E254" s="2">
        <v>44530</v>
      </c>
      <c r="F254" s="3">
        <v>0.60053240740740743</v>
      </c>
      <c r="G254" s="2">
        <v>44532</v>
      </c>
      <c r="H254" s="3">
        <v>0.23572916666666666</v>
      </c>
      <c r="I254" t="s">
        <v>591</v>
      </c>
      <c r="J254" t="s">
        <v>597</v>
      </c>
      <c r="K254">
        <v>14</v>
      </c>
      <c r="L254">
        <v>5</v>
      </c>
      <c r="M254">
        <v>2</v>
      </c>
      <c r="N254">
        <v>597</v>
      </c>
    </row>
    <row r="255" spans="1:14" x14ac:dyDescent="0.3">
      <c r="A255">
        <v>254</v>
      </c>
      <c r="B255" t="s">
        <v>390</v>
      </c>
      <c r="C255">
        <v>1</v>
      </c>
      <c r="D255">
        <v>5</v>
      </c>
      <c r="E255" s="2">
        <v>44310</v>
      </c>
      <c r="F255" s="3">
        <v>6.7592592592592591E-3</v>
      </c>
      <c r="G255" s="2">
        <v>44315</v>
      </c>
      <c r="H255" s="3">
        <v>0.22765046296296296</v>
      </c>
      <c r="I255" t="s">
        <v>594</v>
      </c>
      <c r="J255" t="s">
        <v>592</v>
      </c>
      <c r="K255">
        <v>0</v>
      </c>
      <c r="L255">
        <v>5</v>
      </c>
      <c r="M255">
        <v>5</v>
      </c>
      <c r="N255">
        <v>1935</v>
      </c>
    </row>
    <row r="256" spans="1:14" x14ac:dyDescent="0.3">
      <c r="A256">
        <v>255</v>
      </c>
      <c r="B256" t="s">
        <v>386</v>
      </c>
      <c r="C256">
        <v>45</v>
      </c>
      <c r="D256">
        <v>2</v>
      </c>
      <c r="E256" s="2">
        <v>44314</v>
      </c>
      <c r="F256" s="3">
        <v>0.15457175925925926</v>
      </c>
      <c r="G256" s="2">
        <v>44316</v>
      </c>
      <c r="H256" s="3">
        <v>0.39113425925925926</v>
      </c>
      <c r="I256" t="s">
        <v>433</v>
      </c>
      <c r="J256" t="s">
        <v>592</v>
      </c>
      <c r="K256">
        <v>3</v>
      </c>
      <c r="L256">
        <v>9</v>
      </c>
      <c r="M256">
        <v>2</v>
      </c>
      <c r="N256">
        <v>722</v>
      </c>
    </row>
    <row r="257" spans="1:14" x14ac:dyDescent="0.3">
      <c r="A257">
        <v>256</v>
      </c>
      <c r="B257" t="s">
        <v>280</v>
      </c>
      <c r="C257">
        <v>4</v>
      </c>
      <c r="D257">
        <v>5</v>
      </c>
      <c r="E257" s="2">
        <v>44405</v>
      </c>
      <c r="F257" s="3">
        <v>0.80126157407407406</v>
      </c>
      <c r="G257" s="2">
        <v>44408</v>
      </c>
      <c r="H257" s="3">
        <v>0.75410879629629635</v>
      </c>
      <c r="I257" t="s">
        <v>429</v>
      </c>
      <c r="J257" t="s">
        <v>590</v>
      </c>
      <c r="K257">
        <v>19</v>
      </c>
      <c r="L257">
        <v>18</v>
      </c>
      <c r="M257">
        <v>3</v>
      </c>
      <c r="N257">
        <v>1199</v>
      </c>
    </row>
    <row r="258" spans="1:14" x14ac:dyDescent="0.3">
      <c r="A258">
        <v>257</v>
      </c>
      <c r="B258" t="s">
        <v>328</v>
      </c>
      <c r="C258">
        <v>21</v>
      </c>
      <c r="D258">
        <v>3</v>
      </c>
      <c r="E258" s="2">
        <v>44305</v>
      </c>
      <c r="F258" s="3">
        <v>0.65484953703703708</v>
      </c>
      <c r="G258" s="2">
        <v>44309</v>
      </c>
      <c r="H258" s="3">
        <v>0.94420138888888894</v>
      </c>
      <c r="I258" t="s">
        <v>429</v>
      </c>
      <c r="J258" t="s">
        <v>592</v>
      </c>
      <c r="K258">
        <v>15</v>
      </c>
      <c r="L258">
        <v>22</v>
      </c>
      <c r="M258">
        <v>4</v>
      </c>
      <c r="N258">
        <v>1561</v>
      </c>
    </row>
    <row r="259" spans="1:14" x14ac:dyDescent="0.3">
      <c r="A259">
        <v>258</v>
      </c>
      <c r="B259" t="s">
        <v>199</v>
      </c>
      <c r="C259">
        <v>46</v>
      </c>
      <c r="D259">
        <v>5</v>
      </c>
      <c r="E259" s="2">
        <v>44218</v>
      </c>
      <c r="F259" s="3">
        <v>0.23656250000000001</v>
      </c>
      <c r="G259" s="2">
        <v>44223</v>
      </c>
      <c r="H259" s="3">
        <v>0.83717592592592593</v>
      </c>
      <c r="I259" t="s">
        <v>437</v>
      </c>
      <c r="J259" t="s">
        <v>598</v>
      </c>
      <c r="K259">
        <v>5</v>
      </c>
      <c r="L259">
        <v>20</v>
      </c>
      <c r="M259">
        <v>5</v>
      </c>
      <c r="N259">
        <v>758</v>
      </c>
    </row>
    <row r="260" spans="1:14" x14ac:dyDescent="0.3">
      <c r="A260">
        <v>259</v>
      </c>
      <c r="B260" t="s">
        <v>18</v>
      </c>
      <c r="C260">
        <v>62</v>
      </c>
      <c r="D260">
        <v>1</v>
      </c>
      <c r="E260" s="2">
        <v>44220</v>
      </c>
      <c r="F260" s="3">
        <v>0.64020833333333338</v>
      </c>
      <c r="G260" s="2">
        <v>44226</v>
      </c>
      <c r="H260" s="3">
        <v>2.7893518518518519E-3</v>
      </c>
      <c r="I260" t="s">
        <v>433</v>
      </c>
      <c r="J260" t="s">
        <v>598</v>
      </c>
      <c r="K260">
        <v>15</v>
      </c>
      <c r="L260">
        <v>0</v>
      </c>
      <c r="M260">
        <v>6</v>
      </c>
      <c r="N260">
        <v>1356</v>
      </c>
    </row>
    <row r="261" spans="1:14" x14ac:dyDescent="0.3">
      <c r="A261">
        <v>260</v>
      </c>
      <c r="B261" t="s">
        <v>417</v>
      </c>
      <c r="C261">
        <v>69</v>
      </c>
      <c r="D261">
        <v>5</v>
      </c>
      <c r="E261" s="2">
        <v>44311</v>
      </c>
      <c r="F261" s="3">
        <v>0.54596064814814815</v>
      </c>
      <c r="G261" s="2">
        <v>44316</v>
      </c>
      <c r="H261" s="3">
        <v>0.93229166666666663</v>
      </c>
      <c r="I261" t="s">
        <v>433</v>
      </c>
      <c r="J261" t="s">
        <v>592</v>
      </c>
      <c r="K261">
        <v>13</v>
      </c>
      <c r="L261">
        <v>22</v>
      </c>
      <c r="M261">
        <v>5</v>
      </c>
      <c r="N261">
        <v>998</v>
      </c>
    </row>
    <row r="262" spans="1:14" x14ac:dyDescent="0.3">
      <c r="A262">
        <v>261</v>
      </c>
      <c r="B262" t="s">
        <v>187</v>
      </c>
      <c r="C262">
        <v>37</v>
      </c>
      <c r="D262">
        <v>3</v>
      </c>
      <c r="E262" s="2">
        <v>44525</v>
      </c>
      <c r="F262" s="3">
        <v>0.58599537037037042</v>
      </c>
      <c r="G262" s="2">
        <v>44529</v>
      </c>
      <c r="H262" s="3">
        <v>0.84568287037037038</v>
      </c>
      <c r="I262" t="s">
        <v>429</v>
      </c>
      <c r="J262" t="s">
        <v>597</v>
      </c>
      <c r="K262">
        <v>14</v>
      </c>
      <c r="L262">
        <v>20</v>
      </c>
      <c r="M262">
        <v>4</v>
      </c>
      <c r="N262">
        <v>1428</v>
      </c>
    </row>
    <row r="263" spans="1:14" x14ac:dyDescent="0.3">
      <c r="A263">
        <v>262</v>
      </c>
      <c r="B263" t="s">
        <v>175</v>
      </c>
      <c r="C263">
        <v>49</v>
      </c>
      <c r="D263">
        <v>3</v>
      </c>
      <c r="E263" s="2">
        <v>44296</v>
      </c>
      <c r="F263" s="3">
        <v>0.33699074074074076</v>
      </c>
      <c r="G263" s="2">
        <v>44298</v>
      </c>
      <c r="H263" s="3">
        <v>4.6493055555555558E-2</v>
      </c>
      <c r="I263" t="s">
        <v>591</v>
      </c>
      <c r="J263" t="s">
        <v>592</v>
      </c>
      <c r="K263">
        <v>8</v>
      </c>
      <c r="L263">
        <v>1</v>
      </c>
      <c r="M263">
        <v>2</v>
      </c>
      <c r="N263">
        <v>903</v>
      </c>
    </row>
    <row r="264" spans="1:14" x14ac:dyDescent="0.3">
      <c r="A264">
        <v>263</v>
      </c>
      <c r="B264" t="s">
        <v>343</v>
      </c>
      <c r="C264">
        <v>57</v>
      </c>
      <c r="D264">
        <v>4</v>
      </c>
      <c r="E264" s="2">
        <v>44418</v>
      </c>
      <c r="F264" s="3">
        <v>0.3994212962962963</v>
      </c>
      <c r="G264" s="2">
        <v>44423</v>
      </c>
      <c r="H264" s="3">
        <v>0.64028935185185187</v>
      </c>
      <c r="I264" t="s">
        <v>433</v>
      </c>
      <c r="J264" t="s">
        <v>596</v>
      </c>
      <c r="K264">
        <v>9</v>
      </c>
      <c r="L264">
        <v>15</v>
      </c>
      <c r="M264">
        <v>5</v>
      </c>
      <c r="N264">
        <v>1582</v>
      </c>
    </row>
    <row r="265" spans="1:14" x14ac:dyDescent="0.3">
      <c r="A265">
        <v>264</v>
      </c>
      <c r="B265" t="s">
        <v>62</v>
      </c>
      <c r="C265">
        <v>52</v>
      </c>
      <c r="D265">
        <v>3</v>
      </c>
      <c r="E265" s="2">
        <v>44528</v>
      </c>
      <c r="F265" s="3">
        <v>0.2328587962962963</v>
      </c>
      <c r="G265" s="2">
        <v>44534</v>
      </c>
      <c r="H265" s="3">
        <v>0.65539351851851857</v>
      </c>
      <c r="I265" t="s">
        <v>591</v>
      </c>
      <c r="J265" t="s">
        <v>597</v>
      </c>
      <c r="K265">
        <v>5</v>
      </c>
      <c r="L265">
        <v>15</v>
      </c>
      <c r="M265">
        <v>6</v>
      </c>
      <c r="N265">
        <v>236</v>
      </c>
    </row>
    <row r="266" spans="1:14" x14ac:dyDescent="0.3">
      <c r="A266">
        <v>265</v>
      </c>
      <c r="B266" t="s">
        <v>261</v>
      </c>
      <c r="C266">
        <v>58</v>
      </c>
      <c r="D266">
        <v>1</v>
      </c>
      <c r="E266" s="2">
        <v>44394</v>
      </c>
      <c r="F266" s="3">
        <v>0.88701388888888888</v>
      </c>
      <c r="G266" s="2">
        <v>44396</v>
      </c>
      <c r="H266" s="3">
        <v>0.26982638888888888</v>
      </c>
      <c r="I266" t="s">
        <v>591</v>
      </c>
      <c r="J266" t="s">
        <v>590</v>
      </c>
      <c r="K266">
        <v>21</v>
      </c>
      <c r="L266">
        <v>6</v>
      </c>
      <c r="M266">
        <v>2</v>
      </c>
      <c r="N266">
        <v>1492</v>
      </c>
    </row>
    <row r="267" spans="1:14" x14ac:dyDescent="0.3">
      <c r="A267">
        <v>266</v>
      </c>
      <c r="B267" t="s">
        <v>175</v>
      </c>
      <c r="C267">
        <v>36</v>
      </c>
      <c r="D267">
        <v>1</v>
      </c>
      <c r="E267" s="2">
        <v>44223</v>
      </c>
      <c r="F267" s="3">
        <v>0.57425925925925925</v>
      </c>
      <c r="G267" s="2">
        <v>44226</v>
      </c>
      <c r="H267" s="3">
        <v>0.80565972222222226</v>
      </c>
      <c r="I267" t="s">
        <v>433</v>
      </c>
      <c r="J267" t="s">
        <v>598</v>
      </c>
      <c r="K267">
        <v>13</v>
      </c>
      <c r="L267">
        <v>19</v>
      </c>
      <c r="M267">
        <v>3</v>
      </c>
      <c r="N267">
        <v>203</v>
      </c>
    </row>
    <row r="268" spans="1:14" x14ac:dyDescent="0.3">
      <c r="A268">
        <v>267</v>
      </c>
      <c r="B268" t="s">
        <v>242</v>
      </c>
      <c r="C268">
        <v>35</v>
      </c>
      <c r="D268">
        <v>3</v>
      </c>
      <c r="E268" s="2">
        <v>44560</v>
      </c>
      <c r="F268" s="3">
        <v>0.56871527777777775</v>
      </c>
      <c r="G268" s="2">
        <v>44566</v>
      </c>
      <c r="H268" s="3">
        <v>0.16111111111111112</v>
      </c>
      <c r="I268" t="s">
        <v>433</v>
      </c>
      <c r="J268" t="s">
        <v>588</v>
      </c>
      <c r="K268">
        <v>13</v>
      </c>
      <c r="L268">
        <v>3</v>
      </c>
      <c r="M268">
        <v>6</v>
      </c>
      <c r="N268">
        <v>1865</v>
      </c>
    </row>
    <row r="269" spans="1:14" x14ac:dyDescent="0.3">
      <c r="A269">
        <v>268</v>
      </c>
      <c r="B269" t="s">
        <v>234</v>
      </c>
      <c r="C269">
        <v>38</v>
      </c>
      <c r="D269">
        <v>1</v>
      </c>
      <c r="E269" s="2">
        <v>44246</v>
      </c>
      <c r="F269" s="3">
        <v>0.32359953703703703</v>
      </c>
      <c r="G269" s="2">
        <v>44250</v>
      </c>
      <c r="H269" s="3">
        <v>0.70381944444444444</v>
      </c>
      <c r="I269" t="s">
        <v>433</v>
      </c>
      <c r="J269" t="s">
        <v>599</v>
      </c>
      <c r="K269">
        <v>7</v>
      </c>
      <c r="L269">
        <v>16</v>
      </c>
      <c r="M269">
        <v>4</v>
      </c>
      <c r="N269">
        <v>562</v>
      </c>
    </row>
    <row r="270" spans="1:14" x14ac:dyDescent="0.3">
      <c r="A270">
        <v>269</v>
      </c>
      <c r="B270" t="s">
        <v>119</v>
      </c>
      <c r="C270">
        <v>36</v>
      </c>
      <c r="D270">
        <v>1</v>
      </c>
      <c r="E270" s="2">
        <v>44239</v>
      </c>
      <c r="F270" s="3">
        <v>5.0138888888888886E-2</v>
      </c>
      <c r="G270" s="2">
        <v>44243</v>
      </c>
      <c r="H270" s="3">
        <v>0.74876157407407407</v>
      </c>
      <c r="I270" t="s">
        <v>433</v>
      </c>
      <c r="J270" t="s">
        <v>599</v>
      </c>
      <c r="K270">
        <v>1</v>
      </c>
      <c r="L270">
        <v>17</v>
      </c>
      <c r="M270">
        <v>4</v>
      </c>
      <c r="N270">
        <v>203</v>
      </c>
    </row>
    <row r="271" spans="1:14" x14ac:dyDescent="0.3">
      <c r="A271">
        <v>270</v>
      </c>
      <c r="B271" t="s">
        <v>355</v>
      </c>
      <c r="C271">
        <v>21</v>
      </c>
      <c r="D271">
        <v>5</v>
      </c>
      <c r="E271" s="2">
        <v>44354</v>
      </c>
      <c r="F271" s="3">
        <v>0.84825231481481478</v>
      </c>
      <c r="G271" s="2">
        <v>44357</v>
      </c>
      <c r="H271" s="3">
        <v>0.66943287037037036</v>
      </c>
      <c r="I271" t="s">
        <v>429</v>
      </c>
      <c r="J271" t="s">
        <v>586</v>
      </c>
      <c r="K271">
        <v>20</v>
      </c>
      <c r="L271">
        <v>16</v>
      </c>
      <c r="M271">
        <v>3</v>
      </c>
      <c r="N271">
        <v>1561</v>
      </c>
    </row>
    <row r="272" spans="1:14" x14ac:dyDescent="0.3">
      <c r="A272">
        <v>271</v>
      </c>
      <c r="B272" t="s">
        <v>179</v>
      </c>
      <c r="C272">
        <v>36</v>
      </c>
      <c r="D272">
        <v>5</v>
      </c>
      <c r="E272" s="2">
        <v>44428</v>
      </c>
      <c r="F272" s="3">
        <v>0.76923611111111112</v>
      </c>
      <c r="G272" s="2">
        <v>44430</v>
      </c>
      <c r="H272" s="3">
        <v>0.76394675925925926</v>
      </c>
      <c r="I272" t="s">
        <v>433</v>
      </c>
      <c r="J272" t="s">
        <v>596</v>
      </c>
      <c r="K272">
        <v>18</v>
      </c>
      <c r="L272">
        <v>18</v>
      </c>
      <c r="M272">
        <v>2</v>
      </c>
      <c r="N272">
        <v>203</v>
      </c>
    </row>
    <row r="273" spans="1:14" x14ac:dyDescent="0.3">
      <c r="A273">
        <v>272</v>
      </c>
      <c r="B273" t="s">
        <v>86</v>
      </c>
      <c r="C273">
        <v>12</v>
      </c>
      <c r="D273">
        <v>1</v>
      </c>
      <c r="E273" s="2">
        <v>44404</v>
      </c>
      <c r="F273" s="3">
        <v>0.40283564814814815</v>
      </c>
      <c r="G273" s="2">
        <v>44408</v>
      </c>
      <c r="H273" s="3">
        <v>0.84300925925925929</v>
      </c>
      <c r="I273" t="s">
        <v>437</v>
      </c>
      <c r="J273" t="s">
        <v>590</v>
      </c>
      <c r="K273">
        <v>9</v>
      </c>
      <c r="L273">
        <v>20</v>
      </c>
      <c r="M273">
        <v>4</v>
      </c>
      <c r="N273">
        <v>672</v>
      </c>
    </row>
    <row r="274" spans="1:14" x14ac:dyDescent="0.3">
      <c r="A274">
        <v>273</v>
      </c>
      <c r="B274" t="s">
        <v>211</v>
      </c>
      <c r="C274">
        <v>10</v>
      </c>
      <c r="D274">
        <v>2</v>
      </c>
      <c r="E274" s="2">
        <v>44509</v>
      </c>
      <c r="F274" s="3">
        <v>0.67540509259259263</v>
      </c>
      <c r="G274" s="2">
        <v>44511</v>
      </c>
      <c r="H274" s="3">
        <v>7.8333333333333338E-2</v>
      </c>
      <c r="I274" t="s">
        <v>433</v>
      </c>
      <c r="J274" t="s">
        <v>597</v>
      </c>
      <c r="K274">
        <v>16</v>
      </c>
      <c r="L274">
        <v>1</v>
      </c>
      <c r="M274">
        <v>2</v>
      </c>
      <c r="N274">
        <v>259</v>
      </c>
    </row>
    <row r="275" spans="1:14" x14ac:dyDescent="0.3">
      <c r="A275">
        <v>274</v>
      </c>
      <c r="B275" t="s">
        <v>332</v>
      </c>
      <c r="C275">
        <v>41</v>
      </c>
      <c r="D275">
        <v>5</v>
      </c>
      <c r="E275" s="2">
        <v>44530</v>
      </c>
      <c r="F275" s="3">
        <v>0.27628472222222222</v>
      </c>
      <c r="G275" s="2">
        <v>44536</v>
      </c>
      <c r="H275" s="3">
        <v>0.87055555555555553</v>
      </c>
      <c r="I275" t="s">
        <v>429</v>
      </c>
      <c r="J275" t="s">
        <v>597</v>
      </c>
      <c r="K275">
        <v>6</v>
      </c>
      <c r="L275">
        <v>20</v>
      </c>
      <c r="M275">
        <v>6</v>
      </c>
      <c r="N275">
        <v>1977</v>
      </c>
    </row>
    <row r="276" spans="1:14" x14ac:dyDescent="0.3">
      <c r="A276">
        <v>275</v>
      </c>
      <c r="B276" t="s">
        <v>135</v>
      </c>
      <c r="C276">
        <v>29</v>
      </c>
      <c r="D276">
        <v>1</v>
      </c>
      <c r="E276" s="2">
        <v>44522</v>
      </c>
      <c r="F276" s="3">
        <v>0.17623842592592592</v>
      </c>
      <c r="G276" s="2">
        <v>44524</v>
      </c>
      <c r="H276" s="3">
        <v>5.392361111111111E-2</v>
      </c>
      <c r="I276" t="s">
        <v>433</v>
      </c>
      <c r="J276" t="s">
        <v>597</v>
      </c>
      <c r="K276">
        <v>4</v>
      </c>
      <c r="L276">
        <v>1</v>
      </c>
      <c r="M276">
        <v>2</v>
      </c>
      <c r="N276">
        <v>1252</v>
      </c>
    </row>
    <row r="277" spans="1:14" x14ac:dyDescent="0.3">
      <c r="A277">
        <v>276</v>
      </c>
      <c r="B277" t="s">
        <v>280</v>
      </c>
      <c r="C277">
        <v>15</v>
      </c>
      <c r="D277">
        <v>2</v>
      </c>
      <c r="E277" s="2">
        <v>44280</v>
      </c>
      <c r="F277" s="3">
        <v>6.5347222222222223E-2</v>
      </c>
      <c r="G277" s="2">
        <v>44283</v>
      </c>
      <c r="H277" s="3">
        <v>0.29552083333333334</v>
      </c>
      <c r="I277" t="s">
        <v>437</v>
      </c>
      <c r="J277" t="s">
        <v>589</v>
      </c>
      <c r="K277">
        <v>1</v>
      </c>
      <c r="L277">
        <v>7</v>
      </c>
      <c r="M277">
        <v>3</v>
      </c>
      <c r="N277">
        <v>1488</v>
      </c>
    </row>
    <row r="278" spans="1:14" x14ac:dyDescent="0.3">
      <c r="A278">
        <v>277</v>
      </c>
      <c r="B278" t="s">
        <v>269</v>
      </c>
      <c r="C278">
        <v>34</v>
      </c>
      <c r="D278">
        <v>5</v>
      </c>
      <c r="E278" s="2">
        <v>44316</v>
      </c>
      <c r="F278" s="3">
        <v>0.8032407407407407</v>
      </c>
      <c r="G278" s="2">
        <v>44321</v>
      </c>
      <c r="H278" s="3">
        <v>0.65993055555555558</v>
      </c>
      <c r="I278" t="s">
        <v>429</v>
      </c>
      <c r="J278" t="s">
        <v>592</v>
      </c>
      <c r="K278">
        <v>19</v>
      </c>
      <c r="L278">
        <v>15</v>
      </c>
      <c r="M278">
        <v>5</v>
      </c>
      <c r="N278">
        <v>1335</v>
      </c>
    </row>
    <row r="279" spans="1:14" x14ac:dyDescent="0.3">
      <c r="A279">
        <v>278</v>
      </c>
      <c r="B279" t="s">
        <v>199</v>
      </c>
      <c r="C279">
        <v>1</v>
      </c>
      <c r="D279">
        <v>2</v>
      </c>
      <c r="E279" s="2">
        <v>44548</v>
      </c>
      <c r="F279" s="3">
        <v>0.98185185185185186</v>
      </c>
      <c r="G279" s="2">
        <v>44550</v>
      </c>
      <c r="H279" s="3">
        <v>0.23800925925925925</v>
      </c>
      <c r="I279" t="s">
        <v>594</v>
      </c>
      <c r="J279" t="s">
        <v>588</v>
      </c>
      <c r="K279">
        <v>23</v>
      </c>
      <c r="L279">
        <v>5</v>
      </c>
      <c r="M279">
        <v>2</v>
      </c>
      <c r="N279">
        <v>1935</v>
      </c>
    </row>
    <row r="280" spans="1:14" x14ac:dyDescent="0.3">
      <c r="A280">
        <v>279</v>
      </c>
      <c r="B280" t="s">
        <v>288</v>
      </c>
      <c r="C280">
        <v>23</v>
      </c>
      <c r="D280">
        <v>4</v>
      </c>
      <c r="E280" s="2">
        <v>44293</v>
      </c>
      <c r="F280" s="3">
        <v>0.38525462962962964</v>
      </c>
      <c r="G280" s="2">
        <v>44299</v>
      </c>
      <c r="H280" s="3">
        <v>0.74401620370370369</v>
      </c>
      <c r="I280" t="s">
        <v>437</v>
      </c>
      <c r="J280" t="s">
        <v>592</v>
      </c>
      <c r="K280">
        <v>9</v>
      </c>
      <c r="L280">
        <v>17</v>
      </c>
      <c r="M280">
        <v>6</v>
      </c>
      <c r="N280">
        <v>1098</v>
      </c>
    </row>
    <row r="281" spans="1:14" x14ac:dyDescent="0.3">
      <c r="A281">
        <v>280</v>
      </c>
      <c r="B281" t="s">
        <v>30</v>
      </c>
      <c r="C281">
        <v>19</v>
      </c>
      <c r="D281">
        <v>3</v>
      </c>
      <c r="E281" s="2">
        <v>44230</v>
      </c>
      <c r="F281" s="3">
        <v>0.73943287037037042</v>
      </c>
      <c r="G281" s="2">
        <v>44235</v>
      </c>
      <c r="H281" s="3">
        <v>0.68825231481481486</v>
      </c>
      <c r="I281" t="s">
        <v>591</v>
      </c>
      <c r="J281" t="s">
        <v>599</v>
      </c>
      <c r="K281">
        <v>17</v>
      </c>
      <c r="L281">
        <v>16</v>
      </c>
      <c r="M281">
        <v>5</v>
      </c>
      <c r="N281">
        <v>1234</v>
      </c>
    </row>
    <row r="282" spans="1:14" x14ac:dyDescent="0.3">
      <c r="A282">
        <v>281</v>
      </c>
      <c r="B282" t="s">
        <v>53</v>
      </c>
      <c r="C282">
        <v>15</v>
      </c>
      <c r="D282">
        <v>3</v>
      </c>
      <c r="E282" s="2">
        <v>44452</v>
      </c>
      <c r="F282" s="3">
        <v>0.85887731481481477</v>
      </c>
      <c r="G282" s="2">
        <v>44457</v>
      </c>
      <c r="H282" s="3">
        <v>0.43557870370370372</v>
      </c>
      <c r="I282" t="s">
        <v>437</v>
      </c>
      <c r="J282" t="s">
        <v>595</v>
      </c>
      <c r="K282">
        <v>20</v>
      </c>
      <c r="L282">
        <v>10</v>
      </c>
      <c r="M282">
        <v>5</v>
      </c>
      <c r="N282">
        <v>1488</v>
      </c>
    </row>
    <row r="283" spans="1:14" x14ac:dyDescent="0.3">
      <c r="A283">
        <v>282</v>
      </c>
      <c r="B283" t="s">
        <v>386</v>
      </c>
      <c r="C283">
        <v>41</v>
      </c>
      <c r="D283">
        <v>2</v>
      </c>
      <c r="E283" s="2">
        <v>44274</v>
      </c>
      <c r="F283" s="3">
        <v>0.43112268518518521</v>
      </c>
      <c r="G283" s="2">
        <v>44278</v>
      </c>
      <c r="H283" s="3">
        <v>0.92476851851851849</v>
      </c>
      <c r="I283" t="s">
        <v>429</v>
      </c>
      <c r="J283" t="s">
        <v>589</v>
      </c>
      <c r="K283">
        <v>10</v>
      </c>
      <c r="L283">
        <v>22</v>
      </c>
      <c r="M283">
        <v>4</v>
      </c>
      <c r="N283">
        <v>1977</v>
      </c>
    </row>
    <row r="284" spans="1:14" x14ac:dyDescent="0.3">
      <c r="A284">
        <v>283</v>
      </c>
      <c r="B284" t="s">
        <v>363</v>
      </c>
      <c r="C284">
        <v>23</v>
      </c>
      <c r="D284">
        <v>2</v>
      </c>
      <c r="E284" s="2">
        <v>44309</v>
      </c>
      <c r="F284" s="3">
        <v>0.11914351851851852</v>
      </c>
      <c r="G284" s="2">
        <v>44314</v>
      </c>
      <c r="H284" s="3">
        <v>0.76504629629629628</v>
      </c>
      <c r="I284" t="s">
        <v>437</v>
      </c>
      <c r="J284" t="s">
        <v>592</v>
      </c>
      <c r="K284">
        <v>2</v>
      </c>
      <c r="L284">
        <v>18</v>
      </c>
      <c r="M284">
        <v>5</v>
      </c>
      <c r="N284">
        <v>1098</v>
      </c>
    </row>
    <row r="285" spans="1:14" x14ac:dyDescent="0.3">
      <c r="A285">
        <v>284</v>
      </c>
      <c r="B285" t="s">
        <v>250</v>
      </c>
      <c r="C285">
        <v>17</v>
      </c>
      <c r="D285">
        <v>1</v>
      </c>
      <c r="E285" s="2">
        <v>44229</v>
      </c>
      <c r="F285" s="3">
        <v>0.67574074074074075</v>
      </c>
      <c r="G285" s="2">
        <v>44235</v>
      </c>
      <c r="H285" s="3">
        <v>0.47357638888888887</v>
      </c>
      <c r="I285" t="s">
        <v>437</v>
      </c>
      <c r="J285" t="s">
        <v>599</v>
      </c>
      <c r="K285">
        <v>16</v>
      </c>
      <c r="L285">
        <v>11</v>
      </c>
      <c r="M285">
        <v>6</v>
      </c>
      <c r="N285">
        <v>1899</v>
      </c>
    </row>
    <row r="286" spans="1:14" x14ac:dyDescent="0.3">
      <c r="A286">
        <v>285</v>
      </c>
      <c r="B286" t="s">
        <v>347</v>
      </c>
      <c r="C286">
        <v>7</v>
      </c>
      <c r="D286">
        <v>5</v>
      </c>
      <c r="E286" s="2">
        <v>44240</v>
      </c>
      <c r="F286" s="3">
        <v>0.72689814814814813</v>
      </c>
      <c r="G286" s="2">
        <v>44244</v>
      </c>
      <c r="H286" s="3">
        <v>0.53634259259259254</v>
      </c>
      <c r="I286" t="s">
        <v>433</v>
      </c>
      <c r="J286" t="s">
        <v>599</v>
      </c>
      <c r="K286">
        <v>17</v>
      </c>
      <c r="L286">
        <v>12</v>
      </c>
      <c r="M286">
        <v>4</v>
      </c>
      <c r="N286">
        <v>409</v>
      </c>
    </row>
    <row r="287" spans="1:14" x14ac:dyDescent="0.3">
      <c r="A287">
        <v>286</v>
      </c>
      <c r="B287" t="s">
        <v>409</v>
      </c>
      <c r="C287">
        <v>50</v>
      </c>
      <c r="D287">
        <v>3</v>
      </c>
      <c r="E287" s="2">
        <v>44315</v>
      </c>
      <c r="F287" s="3">
        <v>0.83726851851851847</v>
      </c>
      <c r="G287" s="2">
        <v>44318</v>
      </c>
      <c r="H287" s="3">
        <v>0.11211805555555555</v>
      </c>
      <c r="I287" t="s">
        <v>433</v>
      </c>
      <c r="J287" t="s">
        <v>592</v>
      </c>
      <c r="K287">
        <v>20</v>
      </c>
      <c r="L287">
        <v>2</v>
      </c>
      <c r="M287">
        <v>3</v>
      </c>
      <c r="N287">
        <v>422</v>
      </c>
    </row>
    <row r="288" spans="1:14" x14ac:dyDescent="0.3">
      <c r="A288">
        <v>287</v>
      </c>
      <c r="B288" t="s">
        <v>66</v>
      </c>
      <c r="C288">
        <v>7</v>
      </c>
      <c r="D288">
        <v>5</v>
      </c>
      <c r="E288" s="2">
        <v>44284</v>
      </c>
      <c r="F288" s="3">
        <v>0.20421296296296296</v>
      </c>
      <c r="G288" s="2">
        <v>44289</v>
      </c>
      <c r="H288" s="3">
        <v>0.65274305555555556</v>
      </c>
      <c r="I288" t="s">
        <v>433</v>
      </c>
      <c r="J288" t="s">
        <v>589</v>
      </c>
      <c r="K288">
        <v>4</v>
      </c>
      <c r="L288">
        <v>15</v>
      </c>
      <c r="M288">
        <v>5</v>
      </c>
      <c r="N288">
        <v>409</v>
      </c>
    </row>
    <row r="289" spans="1:14" x14ac:dyDescent="0.3">
      <c r="A289">
        <v>288</v>
      </c>
      <c r="B289" t="s">
        <v>163</v>
      </c>
      <c r="C289">
        <v>34</v>
      </c>
      <c r="D289">
        <v>2</v>
      </c>
      <c r="E289" s="2">
        <v>44447</v>
      </c>
      <c r="F289" s="3">
        <v>0.66594907407407411</v>
      </c>
      <c r="G289" s="2">
        <v>44451</v>
      </c>
      <c r="H289" s="3">
        <v>0.86291666666666667</v>
      </c>
      <c r="I289" t="s">
        <v>429</v>
      </c>
      <c r="J289" t="s">
        <v>595</v>
      </c>
      <c r="K289">
        <v>15</v>
      </c>
      <c r="L289">
        <v>20</v>
      </c>
      <c r="M289">
        <v>4</v>
      </c>
      <c r="N289">
        <v>1335</v>
      </c>
    </row>
    <row r="290" spans="1:14" x14ac:dyDescent="0.3">
      <c r="A290">
        <v>289</v>
      </c>
      <c r="B290" t="s">
        <v>95</v>
      </c>
      <c r="C290">
        <v>30</v>
      </c>
      <c r="D290">
        <v>4</v>
      </c>
      <c r="E290" s="2">
        <v>44529</v>
      </c>
      <c r="F290" s="3">
        <v>0.9861226851851852</v>
      </c>
      <c r="G290" s="2">
        <v>44535</v>
      </c>
      <c r="H290" s="3">
        <v>0.11812499999999999</v>
      </c>
      <c r="I290" t="s">
        <v>437</v>
      </c>
      <c r="J290" t="s">
        <v>597</v>
      </c>
      <c r="K290">
        <v>23</v>
      </c>
      <c r="L290">
        <v>2</v>
      </c>
      <c r="M290">
        <v>6</v>
      </c>
      <c r="N290">
        <v>751</v>
      </c>
    </row>
    <row r="291" spans="1:14" x14ac:dyDescent="0.3">
      <c r="A291">
        <v>290</v>
      </c>
      <c r="B291" t="s">
        <v>336</v>
      </c>
      <c r="C291">
        <v>69</v>
      </c>
      <c r="D291">
        <v>3</v>
      </c>
      <c r="E291" s="2">
        <v>44406</v>
      </c>
      <c r="F291" s="3">
        <v>0.43562499999999998</v>
      </c>
      <c r="G291" s="2">
        <v>44408</v>
      </c>
      <c r="H291" s="3">
        <v>0.6066435185185185</v>
      </c>
      <c r="I291" t="s">
        <v>433</v>
      </c>
      <c r="J291" t="s">
        <v>590</v>
      </c>
      <c r="K291">
        <v>10</v>
      </c>
      <c r="L291">
        <v>14</v>
      </c>
      <c r="M291">
        <v>2</v>
      </c>
      <c r="N291">
        <v>998</v>
      </c>
    </row>
    <row r="292" spans="1:14" x14ac:dyDescent="0.3">
      <c r="A292">
        <v>291</v>
      </c>
      <c r="B292" t="s">
        <v>308</v>
      </c>
      <c r="C292">
        <v>49</v>
      </c>
      <c r="D292">
        <v>2</v>
      </c>
      <c r="E292" s="2">
        <v>44505</v>
      </c>
      <c r="F292" s="3">
        <v>8.7962962962962968E-3</v>
      </c>
      <c r="G292" s="2">
        <v>44511</v>
      </c>
      <c r="H292" s="3">
        <v>0.95336805555555559</v>
      </c>
      <c r="I292" t="s">
        <v>591</v>
      </c>
      <c r="J292" t="s">
        <v>597</v>
      </c>
      <c r="K292">
        <v>0</v>
      </c>
      <c r="L292">
        <v>22</v>
      </c>
      <c r="M292">
        <v>6</v>
      </c>
      <c r="N292">
        <v>903</v>
      </c>
    </row>
    <row r="293" spans="1:14" x14ac:dyDescent="0.3">
      <c r="A293">
        <v>292</v>
      </c>
      <c r="B293" t="s">
        <v>234</v>
      </c>
      <c r="C293">
        <v>54</v>
      </c>
      <c r="D293">
        <v>1</v>
      </c>
      <c r="E293" s="2">
        <v>44229</v>
      </c>
      <c r="F293" s="3">
        <v>0.94693287037037033</v>
      </c>
      <c r="G293" s="2">
        <v>44233</v>
      </c>
      <c r="H293" s="3">
        <v>7.2766203703703708E-2</v>
      </c>
      <c r="I293" t="s">
        <v>437</v>
      </c>
      <c r="J293" t="s">
        <v>599</v>
      </c>
      <c r="K293">
        <v>22</v>
      </c>
      <c r="L293">
        <v>1</v>
      </c>
      <c r="M293">
        <v>4</v>
      </c>
      <c r="N293">
        <v>1236</v>
      </c>
    </row>
    <row r="294" spans="1:14" x14ac:dyDescent="0.3">
      <c r="A294">
        <v>293</v>
      </c>
      <c r="B294" t="s">
        <v>30</v>
      </c>
      <c r="C294">
        <v>1</v>
      </c>
      <c r="D294">
        <v>4</v>
      </c>
      <c r="E294" s="2">
        <v>44387</v>
      </c>
      <c r="F294" s="3">
        <v>0.16929398148148148</v>
      </c>
      <c r="G294" s="2">
        <v>44391</v>
      </c>
      <c r="H294" s="3">
        <v>0.75736111111111115</v>
      </c>
      <c r="I294" t="s">
        <v>594</v>
      </c>
      <c r="J294" t="s">
        <v>590</v>
      </c>
      <c r="K294">
        <v>4</v>
      </c>
      <c r="L294">
        <v>18</v>
      </c>
      <c r="M294">
        <v>4</v>
      </c>
      <c r="N294">
        <v>1935</v>
      </c>
    </row>
    <row r="295" spans="1:14" x14ac:dyDescent="0.3">
      <c r="A295">
        <v>294</v>
      </c>
      <c r="B295" t="s">
        <v>211</v>
      </c>
      <c r="C295">
        <v>26</v>
      </c>
      <c r="D295">
        <v>5</v>
      </c>
      <c r="E295" s="2">
        <v>44369</v>
      </c>
      <c r="F295" s="3">
        <v>0.87798611111111113</v>
      </c>
      <c r="G295" s="2">
        <v>44373</v>
      </c>
      <c r="H295" s="3">
        <v>0.82284722222222217</v>
      </c>
      <c r="I295" t="s">
        <v>433</v>
      </c>
      <c r="J295" t="s">
        <v>586</v>
      </c>
      <c r="K295">
        <v>21</v>
      </c>
      <c r="L295">
        <v>19</v>
      </c>
      <c r="M295">
        <v>4</v>
      </c>
      <c r="N295">
        <v>289</v>
      </c>
    </row>
    <row r="296" spans="1:14" x14ac:dyDescent="0.3">
      <c r="A296">
        <v>295</v>
      </c>
      <c r="B296" t="s">
        <v>336</v>
      </c>
      <c r="C296">
        <v>18</v>
      </c>
      <c r="D296">
        <v>1</v>
      </c>
      <c r="E296" s="2">
        <v>44366</v>
      </c>
      <c r="F296" s="3">
        <v>0.66260416666666666</v>
      </c>
      <c r="G296" s="2">
        <v>44368</v>
      </c>
      <c r="H296" s="3">
        <v>0.42131944444444447</v>
      </c>
      <c r="I296" t="s">
        <v>433</v>
      </c>
      <c r="J296" t="s">
        <v>586</v>
      </c>
      <c r="K296">
        <v>15</v>
      </c>
      <c r="L296">
        <v>10</v>
      </c>
      <c r="M296">
        <v>2</v>
      </c>
      <c r="N296">
        <v>781</v>
      </c>
    </row>
    <row r="297" spans="1:14" x14ac:dyDescent="0.3">
      <c r="A297">
        <v>296</v>
      </c>
      <c r="B297" t="s">
        <v>343</v>
      </c>
      <c r="C297">
        <v>70</v>
      </c>
      <c r="D297">
        <v>5</v>
      </c>
      <c r="E297" s="2">
        <v>44431</v>
      </c>
      <c r="F297" s="3">
        <v>0.49668981481481483</v>
      </c>
      <c r="G297" s="2">
        <v>44437</v>
      </c>
      <c r="H297" s="3">
        <v>0.81511574074074078</v>
      </c>
      <c r="I297" t="s">
        <v>433</v>
      </c>
      <c r="J297" t="s">
        <v>596</v>
      </c>
      <c r="K297">
        <v>11</v>
      </c>
      <c r="L297">
        <v>19</v>
      </c>
      <c r="M297">
        <v>6</v>
      </c>
      <c r="N297">
        <v>866</v>
      </c>
    </row>
    <row r="298" spans="1:14" x14ac:dyDescent="0.3">
      <c r="A298">
        <v>297</v>
      </c>
      <c r="B298" t="s">
        <v>211</v>
      </c>
      <c r="C298">
        <v>13</v>
      </c>
      <c r="D298">
        <v>3</v>
      </c>
      <c r="E298" s="2">
        <v>44472</v>
      </c>
      <c r="F298" s="3">
        <v>0.84408564814814813</v>
      </c>
      <c r="G298" s="2">
        <v>44477</v>
      </c>
      <c r="H298" s="3">
        <v>0.8697569444444444</v>
      </c>
      <c r="I298" t="s">
        <v>433</v>
      </c>
      <c r="J298" t="s">
        <v>587</v>
      </c>
      <c r="K298">
        <v>20</v>
      </c>
      <c r="L298">
        <v>20</v>
      </c>
      <c r="M298">
        <v>5</v>
      </c>
      <c r="N298">
        <v>1141</v>
      </c>
    </row>
    <row r="299" spans="1:14" x14ac:dyDescent="0.3">
      <c r="A299">
        <v>298</v>
      </c>
      <c r="B299" t="s">
        <v>250</v>
      </c>
      <c r="C299">
        <v>3</v>
      </c>
      <c r="D299">
        <v>1</v>
      </c>
      <c r="E299" s="2">
        <v>44571</v>
      </c>
      <c r="F299" s="3">
        <v>0.96283564814814815</v>
      </c>
      <c r="G299" s="2">
        <v>44573</v>
      </c>
      <c r="H299" s="3">
        <v>9.5636574074074068E-2</v>
      </c>
      <c r="I299" t="s">
        <v>591</v>
      </c>
      <c r="J299" t="s">
        <v>598</v>
      </c>
      <c r="K299">
        <v>23</v>
      </c>
      <c r="L299">
        <v>2</v>
      </c>
      <c r="M299">
        <v>2</v>
      </c>
      <c r="N299">
        <v>1534</v>
      </c>
    </row>
    <row r="300" spans="1:14" x14ac:dyDescent="0.3">
      <c r="A300">
        <v>299</v>
      </c>
      <c r="B300" t="s">
        <v>382</v>
      </c>
      <c r="C300">
        <v>8</v>
      </c>
      <c r="D300">
        <v>5</v>
      </c>
      <c r="E300" s="2">
        <v>44376</v>
      </c>
      <c r="F300" s="3">
        <v>0.49399305555555556</v>
      </c>
      <c r="G300" s="2">
        <v>44379</v>
      </c>
      <c r="H300" s="3">
        <v>0.55406250000000001</v>
      </c>
      <c r="I300" t="s">
        <v>437</v>
      </c>
      <c r="J300" t="s">
        <v>586</v>
      </c>
      <c r="K300">
        <v>11</v>
      </c>
      <c r="L300">
        <v>13</v>
      </c>
      <c r="M300">
        <v>3</v>
      </c>
      <c r="N300">
        <v>252</v>
      </c>
    </row>
    <row r="301" spans="1:14" x14ac:dyDescent="0.3">
      <c r="A301">
        <v>300</v>
      </c>
      <c r="B301" t="s">
        <v>151</v>
      </c>
      <c r="C301">
        <v>22</v>
      </c>
      <c r="D301">
        <v>1</v>
      </c>
      <c r="E301" s="2">
        <v>44381</v>
      </c>
      <c r="F301" s="3">
        <v>0.80561342592592589</v>
      </c>
      <c r="G301" s="2">
        <v>44385</v>
      </c>
      <c r="H301" s="3">
        <v>0.76754629629629634</v>
      </c>
      <c r="I301" t="s">
        <v>594</v>
      </c>
      <c r="J301" t="s">
        <v>590</v>
      </c>
      <c r="K301">
        <v>19</v>
      </c>
      <c r="L301">
        <v>18</v>
      </c>
      <c r="M301">
        <v>4</v>
      </c>
      <c r="N301">
        <v>1639</v>
      </c>
    </row>
    <row r="302" spans="1:14" x14ac:dyDescent="0.3">
      <c r="A302">
        <v>301</v>
      </c>
      <c r="B302" t="s">
        <v>300</v>
      </c>
      <c r="C302">
        <v>6</v>
      </c>
      <c r="D302">
        <v>3</v>
      </c>
      <c r="E302" s="2">
        <v>44471</v>
      </c>
      <c r="F302" s="3">
        <v>0.2669212962962963</v>
      </c>
      <c r="G302" s="2">
        <v>44474</v>
      </c>
      <c r="H302" s="3">
        <v>0.70296296296296301</v>
      </c>
      <c r="I302" t="s">
        <v>433</v>
      </c>
      <c r="J302" t="s">
        <v>587</v>
      </c>
      <c r="K302">
        <v>6</v>
      </c>
      <c r="L302">
        <v>16</v>
      </c>
      <c r="M302">
        <v>3</v>
      </c>
      <c r="N302">
        <v>1112</v>
      </c>
    </row>
    <row r="303" spans="1:14" x14ac:dyDescent="0.3">
      <c r="A303">
        <v>302</v>
      </c>
      <c r="B303" t="s">
        <v>304</v>
      </c>
      <c r="C303">
        <v>25</v>
      </c>
      <c r="D303">
        <v>4</v>
      </c>
      <c r="E303" s="2">
        <v>44437</v>
      </c>
      <c r="F303" s="3">
        <v>0.57853009259259258</v>
      </c>
      <c r="G303" s="2">
        <v>44441</v>
      </c>
      <c r="H303" s="3">
        <v>0.71765046296296298</v>
      </c>
      <c r="I303" t="s">
        <v>437</v>
      </c>
      <c r="J303" t="s">
        <v>596</v>
      </c>
      <c r="K303">
        <v>13</v>
      </c>
      <c r="L303">
        <v>17</v>
      </c>
      <c r="M303">
        <v>4</v>
      </c>
      <c r="N303">
        <v>1202</v>
      </c>
    </row>
    <row r="304" spans="1:14" x14ac:dyDescent="0.3">
      <c r="A304">
        <v>303</v>
      </c>
      <c r="B304" t="s">
        <v>226</v>
      </c>
      <c r="C304">
        <v>14</v>
      </c>
      <c r="D304">
        <v>1</v>
      </c>
      <c r="E304" s="2">
        <v>44404</v>
      </c>
      <c r="F304" s="3">
        <v>0.27982638888888889</v>
      </c>
      <c r="G304" s="2">
        <v>44407</v>
      </c>
      <c r="H304" s="3">
        <v>0.29724537037037035</v>
      </c>
      <c r="I304" t="s">
        <v>433</v>
      </c>
      <c r="J304" t="s">
        <v>590</v>
      </c>
      <c r="K304">
        <v>6</v>
      </c>
      <c r="L304">
        <v>7</v>
      </c>
      <c r="M304">
        <v>3</v>
      </c>
      <c r="N304">
        <v>1915</v>
      </c>
    </row>
    <row r="305" spans="1:14" x14ac:dyDescent="0.3">
      <c r="A305">
        <v>304</v>
      </c>
      <c r="B305" t="s">
        <v>371</v>
      </c>
      <c r="C305">
        <v>67</v>
      </c>
      <c r="D305">
        <v>3</v>
      </c>
      <c r="E305" s="2">
        <v>44281</v>
      </c>
      <c r="F305" s="3">
        <v>0.39199074074074075</v>
      </c>
      <c r="G305" s="2">
        <v>44284</v>
      </c>
      <c r="H305" s="3">
        <v>0.96501157407407412</v>
      </c>
      <c r="I305" t="s">
        <v>437</v>
      </c>
      <c r="J305" t="s">
        <v>589</v>
      </c>
      <c r="K305">
        <v>9</v>
      </c>
      <c r="L305">
        <v>23</v>
      </c>
      <c r="M305">
        <v>3</v>
      </c>
      <c r="N305">
        <v>1374</v>
      </c>
    </row>
    <row r="306" spans="1:14" x14ac:dyDescent="0.3">
      <c r="A306">
        <v>305</v>
      </c>
      <c r="B306" t="s">
        <v>30</v>
      </c>
      <c r="C306">
        <v>26</v>
      </c>
      <c r="D306">
        <v>1</v>
      </c>
      <c r="E306" s="2">
        <v>44239</v>
      </c>
      <c r="F306" s="3">
        <v>7.4537037037037037E-3</v>
      </c>
      <c r="G306" s="2">
        <v>44242</v>
      </c>
      <c r="H306" s="3">
        <v>0.58408564814814812</v>
      </c>
      <c r="I306" t="s">
        <v>433</v>
      </c>
      <c r="J306" t="s">
        <v>599</v>
      </c>
      <c r="K306">
        <v>0</v>
      </c>
      <c r="L306">
        <v>14</v>
      </c>
      <c r="M306">
        <v>3</v>
      </c>
      <c r="N306">
        <v>289</v>
      </c>
    </row>
    <row r="307" spans="1:14" x14ac:dyDescent="0.3">
      <c r="A307">
        <v>306</v>
      </c>
      <c r="B307" t="s">
        <v>359</v>
      </c>
      <c r="C307">
        <v>49</v>
      </c>
      <c r="D307">
        <v>4</v>
      </c>
      <c r="E307" s="2">
        <v>44247</v>
      </c>
      <c r="F307" s="3">
        <v>0.48322916666666665</v>
      </c>
      <c r="G307" s="2">
        <v>44249</v>
      </c>
      <c r="H307" s="3">
        <v>0.27638888888888891</v>
      </c>
      <c r="I307" t="s">
        <v>591</v>
      </c>
      <c r="J307" t="s">
        <v>599</v>
      </c>
      <c r="K307">
        <v>11</v>
      </c>
      <c r="L307">
        <v>6</v>
      </c>
      <c r="M307">
        <v>2</v>
      </c>
      <c r="N307">
        <v>903</v>
      </c>
    </row>
    <row r="308" spans="1:14" x14ac:dyDescent="0.3">
      <c r="A308">
        <v>307</v>
      </c>
      <c r="B308" t="s">
        <v>191</v>
      </c>
      <c r="C308">
        <v>3</v>
      </c>
      <c r="D308">
        <v>1</v>
      </c>
      <c r="E308" s="2">
        <v>44574</v>
      </c>
      <c r="F308" s="3">
        <v>0.90131944444444445</v>
      </c>
      <c r="G308" s="2">
        <v>44578</v>
      </c>
      <c r="H308" s="3">
        <v>0.47789351851851852</v>
      </c>
      <c r="I308" t="s">
        <v>591</v>
      </c>
      <c r="J308" t="s">
        <v>598</v>
      </c>
      <c r="K308">
        <v>21</v>
      </c>
      <c r="L308">
        <v>11</v>
      </c>
      <c r="M308">
        <v>4</v>
      </c>
      <c r="N308">
        <v>1534</v>
      </c>
    </row>
    <row r="309" spans="1:14" x14ac:dyDescent="0.3">
      <c r="A309">
        <v>308</v>
      </c>
      <c r="B309" t="s">
        <v>40</v>
      </c>
      <c r="C309">
        <v>57</v>
      </c>
      <c r="D309">
        <v>1</v>
      </c>
      <c r="E309" s="2">
        <v>44525</v>
      </c>
      <c r="F309" s="3">
        <v>0.32929398148148148</v>
      </c>
      <c r="G309" s="2">
        <v>44530</v>
      </c>
      <c r="H309" s="3">
        <v>0.50791666666666668</v>
      </c>
      <c r="I309" t="s">
        <v>433</v>
      </c>
      <c r="J309" t="s">
        <v>597</v>
      </c>
      <c r="K309">
        <v>7</v>
      </c>
      <c r="L309">
        <v>12</v>
      </c>
      <c r="M309">
        <v>5</v>
      </c>
      <c r="N309">
        <v>1582</v>
      </c>
    </row>
    <row r="310" spans="1:14" x14ac:dyDescent="0.3">
      <c r="A310">
        <v>309</v>
      </c>
      <c r="B310" t="s">
        <v>304</v>
      </c>
      <c r="C310">
        <v>60</v>
      </c>
      <c r="D310">
        <v>4</v>
      </c>
      <c r="E310" s="2">
        <v>44365</v>
      </c>
      <c r="F310" s="3">
        <v>0.27688657407407408</v>
      </c>
      <c r="G310" s="2">
        <v>44370</v>
      </c>
      <c r="H310" s="3">
        <v>0.21843750000000001</v>
      </c>
      <c r="I310" t="s">
        <v>429</v>
      </c>
      <c r="J310" t="s">
        <v>586</v>
      </c>
      <c r="K310">
        <v>6</v>
      </c>
      <c r="L310">
        <v>5</v>
      </c>
      <c r="M310">
        <v>5</v>
      </c>
      <c r="N310">
        <v>827</v>
      </c>
    </row>
    <row r="311" spans="1:14" x14ac:dyDescent="0.3">
      <c r="A311">
        <v>310</v>
      </c>
      <c r="B311" t="s">
        <v>265</v>
      </c>
      <c r="C311">
        <v>38</v>
      </c>
      <c r="D311">
        <v>3</v>
      </c>
      <c r="E311" s="2">
        <v>44237</v>
      </c>
      <c r="F311" s="3">
        <v>0.51692129629629635</v>
      </c>
      <c r="G311" s="2">
        <v>44243</v>
      </c>
      <c r="H311" s="3">
        <v>0.65472222222222221</v>
      </c>
      <c r="I311" t="s">
        <v>433</v>
      </c>
      <c r="J311" t="s">
        <v>599</v>
      </c>
      <c r="K311">
        <v>12</v>
      </c>
      <c r="L311">
        <v>15</v>
      </c>
      <c r="M311">
        <v>6</v>
      </c>
      <c r="N311">
        <v>562</v>
      </c>
    </row>
    <row r="312" spans="1:14" x14ac:dyDescent="0.3">
      <c r="A312">
        <v>311</v>
      </c>
      <c r="B312" t="s">
        <v>226</v>
      </c>
      <c r="C312">
        <v>39</v>
      </c>
      <c r="D312">
        <v>2</v>
      </c>
      <c r="E312" s="2">
        <v>44454</v>
      </c>
      <c r="F312" s="3">
        <v>0.39359953703703704</v>
      </c>
      <c r="G312" s="2">
        <v>44460</v>
      </c>
      <c r="H312" s="3">
        <v>0.74424768518518514</v>
      </c>
      <c r="I312" t="s">
        <v>594</v>
      </c>
      <c r="J312" t="s">
        <v>595</v>
      </c>
      <c r="K312">
        <v>9</v>
      </c>
      <c r="L312">
        <v>17</v>
      </c>
      <c r="M312">
        <v>6</v>
      </c>
      <c r="N312">
        <v>387</v>
      </c>
    </row>
    <row r="313" spans="1:14" x14ac:dyDescent="0.3">
      <c r="A313">
        <v>312</v>
      </c>
      <c r="B313" t="s">
        <v>199</v>
      </c>
      <c r="C313">
        <v>9</v>
      </c>
      <c r="D313">
        <v>1</v>
      </c>
      <c r="E313" s="2">
        <v>44468</v>
      </c>
      <c r="F313" s="3">
        <v>0.76916666666666667</v>
      </c>
      <c r="G313" s="2">
        <v>44473</v>
      </c>
      <c r="H313" s="3">
        <v>0.25085648148148149</v>
      </c>
      <c r="I313" t="s">
        <v>429</v>
      </c>
      <c r="J313" t="s">
        <v>595</v>
      </c>
      <c r="K313">
        <v>18</v>
      </c>
      <c r="L313">
        <v>6</v>
      </c>
      <c r="M313">
        <v>5</v>
      </c>
      <c r="N313">
        <v>1605</v>
      </c>
    </row>
    <row r="314" spans="1:14" x14ac:dyDescent="0.3">
      <c r="A314">
        <v>313</v>
      </c>
      <c r="B314" t="s">
        <v>246</v>
      </c>
      <c r="C314">
        <v>30</v>
      </c>
      <c r="D314">
        <v>2</v>
      </c>
      <c r="E314" s="2">
        <v>44268</v>
      </c>
      <c r="F314" s="3">
        <v>0.80866898148148147</v>
      </c>
      <c r="G314" s="2">
        <v>44270</v>
      </c>
      <c r="H314" s="3">
        <v>0.25431712962962966</v>
      </c>
      <c r="I314" t="s">
        <v>437</v>
      </c>
      <c r="J314" t="s">
        <v>589</v>
      </c>
      <c r="K314">
        <v>19</v>
      </c>
      <c r="L314">
        <v>6</v>
      </c>
      <c r="M314">
        <v>2</v>
      </c>
      <c r="N314">
        <v>751</v>
      </c>
    </row>
    <row r="315" spans="1:14" x14ac:dyDescent="0.3">
      <c r="A315">
        <v>314</v>
      </c>
      <c r="B315" t="s">
        <v>139</v>
      </c>
      <c r="C315">
        <v>43</v>
      </c>
      <c r="D315">
        <v>4</v>
      </c>
      <c r="E315" s="2">
        <v>44329</v>
      </c>
      <c r="F315" s="3">
        <v>0.49214120370370368</v>
      </c>
      <c r="G315" s="2">
        <v>44335</v>
      </c>
      <c r="H315" s="3">
        <v>0.20515046296296297</v>
      </c>
      <c r="I315" t="s">
        <v>429</v>
      </c>
      <c r="J315" t="s">
        <v>593</v>
      </c>
      <c r="K315">
        <v>11</v>
      </c>
      <c r="L315">
        <v>4</v>
      </c>
      <c r="M315">
        <v>6</v>
      </c>
      <c r="N315">
        <v>750</v>
      </c>
    </row>
    <row r="316" spans="1:14" x14ac:dyDescent="0.3">
      <c r="A316">
        <v>315</v>
      </c>
      <c r="B316" t="s">
        <v>273</v>
      </c>
      <c r="C316">
        <v>26</v>
      </c>
      <c r="D316">
        <v>5</v>
      </c>
      <c r="E316" s="2">
        <v>44366</v>
      </c>
      <c r="F316" s="3">
        <v>0.59827546296296297</v>
      </c>
      <c r="G316" s="2">
        <v>44369</v>
      </c>
      <c r="H316" s="3">
        <v>0.80579861111111106</v>
      </c>
      <c r="I316" t="s">
        <v>433</v>
      </c>
      <c r="J316" t="s">
        <v>586</v>
      </c>
      <c r="K316">
        <v>14</v>
      </c>
      <c r="L316">
        <v>19</v>
      </c>
      <c r="M316">
        <v>3</v>
      </c>
      <c r="N316">
        <v>289</v>
      </c>
    </row>
    <row r="317" spans="1:14" x14ac:dyDescent="0.3">
      <c r="A317">
        <v>316</v>
      </c>
      <c r="B317" t="s">
        <v>215</v>
      </c>
      <c r="C317">
        <v>2</v>
      </c>
      <c r="D317">
        <v>5</v>
      </c>
      <c r="E317" s="2">
        <v>44235</v>
      </c>
      <c r="F317" s="3">
        <v>0.89936342592592589</v>
      </c>
      <c r="G317" s="2">
        <v>44240</v>
      </c>
      <c r="H317" s="3">
        <v>0.30682870370370369</v>
      </c>
      <c r="I317" t="s">
        <v>591</v>
      </c>
      <c r="J317" t="s">
        <v>599</v>
      </c>
      <c r="K317">
        <v>21</v>
      </c>
      <c r="L317">
        <v>7</v>
      </c>
      <c r="M317">
        <v>5</v>
      </c>
      <c r="N317">
        <v>441</v>
      </c>
    </row>
    <row r="318" spans="1:14" x14ac:dyDescent="0.3">
      <c r="A318">
        <v>317</v>
      </c>
      <c r="B318" t="s">
        <v>79</v>
      </c>
      <c r="C318">
        <v>29</v>
      </c>
      <c r="D318">
        <v>3</v>
      </c>
      <c r="E318" s="2">
        <v>44226</v>
      </c>
      <c r="F318" s="3">
        <v>0.7857291666666667</v>
      </c>
      <c r="G318" s="2">
        <v>44231</v>
      </c>
      <c r="H318" s="3">
        <v>0.67557870370370365</v>
      </c>
      <c r="I318" t="s">
        <v>433</v>
      </c>
      <c r="J318" t="s">
        <v>598</v>
      </c>
      <c r="K318">
        <v>18</v>
      </c>
      <c r="L318">
        <v>16</v>
      </c>
      <c r="M318">
        <v>5</v>
      </c>
      <c r="N318">
        <v>1252</v>
      </c>
    </row>
    <row r="319" spans="1:14" x14ac:dyDescent="0.3">
      <c r="A319">
        <v>318</v>
      </c>
      <c r="B319" t="s">
        <v>175</v>
      </c>
      <c r="C319">
        <v>26</v>
      </c>
      <c r="D319">
        <v>5</v>
      </c>
      <c r="E319" s="2">
        <v>44393</v>
      </c>
      <c r="F319" s="3">
        <v>0.51098379629629631</v>
      </c>
      <c r="G319" s="2">
        <v>44395</v>
      </c>
      <c r="H319" s="3">
        <v>0.66651620370370368</v>
      </c>
      <c r="I319" t="s">
        <v>433</v>
      </c>
      <c r="J319" t="s">
        <v>590</v>
      </c>
      <c r="K319">
        <v>12</v>
      </c>
      <c r="L319">
        <v>15</v>
      </c>
      <c r="M319">
        <v>2</v>
      </c>
      <c r="N319">
        <v>289</v>
      </c>
    </row>
    <row r="320" spans="1:14" x14ac:dyDescent="0.3">
      <c r="A320">
        <v>319</v>
      </c>
      <c r="B320" t="s">
        <v>199</v>
      </c>
      <c r="C320">
        <v>64</v>
      </c>
      <c r="D320">
        <v>1</v>
      </c>
      <c r="E320" s="2">
        <v>44347</v>
      </c>
      <c r="F320" s="3">
        <v>0.26605324074074072</v>
      </c>
      <c r="G320" s="2">
        <v>44349</v>
      </c>
      <c r="H320" s="3">
        <v>0.94748842592592597</v>
      </c>
      <c r="I320" t="s">
        <v>429</v>
      </c>
      <c r="J320" t="s">
        <v>593</v>
      </c>
      <c r="K320">
        <v>6</v>
      </c>
      <c r="L320">
        <v>22</v>
      </c>
      <c r="M320">
        <v>2</v>
      </c>
      <c r="N320">
        <v>1878</v>
      </c>
    </row>
    <row r="321" spans="1:14" x14ac:dyDescent="0.3">
      <c r="A321">
        <v>320</v>
      </c>
      <c r="B321" t="s">
        <v>49</v>
      </c>
      <c r="C321">
        <v>13</v>
      </c>
      <c r="D321">
        <v>1</v>
      </c>
      <c r="E321" s="2">
        <v>44348</v>
      </c>
      <c r="F321" s="3">
        <v>0.32633101851851853</v>
      </c>
      <c r="G321" s="2">
        <v>44350</v>
      </c>
      <c r="H321" s="3">
        <v>0.35996527777777776</v>
      </c>
      <c r="I321" t="s">
        <v>433</v>
      </c>
      <c r="J321" t="s">
        <v>586</v>
      </c>
      <c r="K321">
        <v>7</v>
      </c>
      <c r="L321">
        <v>8</v>
      </c>
      <c r="M321">
        <v>2</v>
      </c>
      <c r="N321">
        <v>1141</v>
      </c>
    </row>
    <row r="322" spans="1:14" x14ac:dyDescent="0.3">
      <c r="A322">
        <v>321</v>
      </c>
      <c r="B322" t="s">
        <v>218</v>
      </c>
      <c r="C322">
        <v>12</v>
      </c>
      <c r="D322">
        <v>5</v>
      </c>
      <c r="E322" s="2">
        <v>44434</v>
      </c>
      <c r="F322" s="3">
        <v>0.47714120370370372</v>
      </c>
      <c r="G322" s="2">
        <v>44437</v>
      </c>
      <c r="H322" s="3">
        <v>0.41091435185185188</v>
      </c>
      <c r="I322" t="s">
        <v>437</v>
      </c>
      <c r="J322" t="s">
        <v>596</v>
      </c>
      <c r="K322">
        <v>11</v>
      </c>
      <c r="L322">
        <v>9</v>
      </c>
      <c r="M322">
        <v>3</v>
      </c>
      <c r="N322">
        <v>672</v>
      </c>
    </row>
    <row r="323" spans="1:14" x14ac:dyDescent="0.3">
      <c r="A323">
        <v>322</v>
      </c>
      <c r="B323" t="s">
        <v>246</v>
      </c>
      <c r="C323">
        <v>15</v>
      </c>
      <c r="D323">
        <v>1</v>
      </c>
      <c r="E323" s="2">
        <v>44471</v>
      </c>
      <c r="F323" s="3">
        <v>0.35568287037037039</v>
      </c>
      <c r="G323" s="2">
        <v>44473</v>
      </c>
      <c r="H323" s="3">
        <v>0.14614583333333334</v>
      </c>
      <c r="I323" t="s">
        <v>437</v>
      </c>
      <c r="J323" t="s">
        <v>587</v>
      </c>
      <c r="K323">
        <v>8</v>
      </c>
      <c r="L323">
        <v>3</v>
      </c>
      <c r="M323">
        <v>2</v>
      </c>
      <c r="N323">
        <v>1488</v>
      </c>
    </row>
    <row r="324" spans="1:14" x14ac:dyDescent="0.3">
      <c r="A324">
        <v>323</v>
      </c>
      <c r="B324" t="s">
        <v>74</v>
      </c>
      <c r="C324">
        <v>23</v>
      </c>
      <c r="D324">
        <v>2</v>
      </c>
      <c r="E324" s="2">
        <v>44460</v>
      </c>
      <c r="F324" s="3">
        <v>0.75907407407407412</v>
      </c>
      <c r="G324" s="2">
        <v>44464</v>
      </c>
      <c r="H324" s="3">
        <v>0.43234953703703705</v>
      </c>
      <c r="I324" t="s">
        <v>437</v>
      </c>
      <c r="J324" t="s">
        <v>595</v>
      </c>
      <c r="K324">
        <v>18</v>
      </c>
      <c r="L324">
        <v>10</v>
      </c>
      <c r="M324">
        <v>4</v>
      </c>
      <c r="N324">
        <v>1098</v>
      </c>
    </row>
    <row r="325" spans="1:14" x14ac:dyDescent="0.3">
      <c r="A325">
        <v>324</v>
      </c>
      <c r="B325" t="s">
        <v>312</v>
      </c>
      <c r="C325">
        <v>14</v>
      </c>
      <c r="D325">
        <v>2</v>
      </c>
      <c r="E325" s="2">
        <v>44461</v>
      </c>
      <c r="F325" s="3">
        <v>0.78296296296296297</v>
      </c>
      <c r="G325" s="2">
        <v>44467</v>
      </c>
      <c r="H325" s="3">
        <v>0.64923611111111112</v>
      </c>
      <c r="I325" t="s">
        <v>433</v>
      </c>
      <c r="J325" t="s">
        <v>595</v>
      </c>
      <c r="K325">
        <v>18</v>
      </c>
      <c r="L325">
        <v>15</v>
      </c>
      <c r="M325">
        <v>6</v>
      </c>
      <c r="N325">
        <v>1915</v>
      </c>
    </row>
    <row r="326" spans="1:14" x14ac:dyDescent="0.3">
      <c r="A326">
        <v>325</v>
      </c>
      <c r="B326" t="s">
        <v>382</v>
      </c>
      <c r="C326">
        <v>27</v>
      </c>
      <c r="D326">
        <v>5</v>
      </c>
      <c r="E326" s="2">
        <v>44454</v>
      </c>
      <c r="F326" s="3">
        <v>0.77135416666666667</v>
      </c>
      <c r="G326" s="2">
        <v>44459</v>
      </c>
      <c r="H326" s="3">
        <v>0.83515046296296291</v>
      </c>
      <c r="I326" t="s">
        <v>429</v>
      </c>
      <c r="J326" t="s">
        <v>595</v>
      </c>
      <c r="K326">
        <v>18</v>
      </c>
      <c r="L326">
        <v>20</v>
      </c>
      <c r="M326">
        <v>5</v>
      </c>
      <c r="N326">
        <v>548</v>
      </c>
    </row>
    <row r="327" spans="1:14" x14ac:dyDescent="0.3">
      <c r="A327">
        <v>326</v>
      </c>
      <c r="B327" t="s">
        <v>371</v>
      </c>
      <c r="C327">
        <v>34</v>
      </c>
      <c r="D327">
        <v>3</v>
      </c>
      <c r="E327" s="2">
        <v>44465</v>
      </c>
      <c r="F327" s="3">
        <v>0.65214120370370365</v>
      </c>
      <c r="G327" s="2">
        <v>44470</v>
      </c>
      <c r="H327" s="3">
        <v>0.64828703703703705</v>
      </c>
      <c r="I327" t="s">
        <v>429</v>
      </c>
      <c r="J327" t="s">
        <v>595</v>
      </c>
      <c r="K327">
        <v>15</v>
      </c>
      <c r="L327">
        <v>15</v>
      </c>
      <c r="M327">
        <v>5</v>
      </c>
      <c r="N327">
        <v>1335</v>
      </c>
    </row>
    <row r="328" spans="1:14" x14ac:dyDescent="0.3">
      <c r="A328">
        <v>327</v>
      </c>
      <c r="B328" t="s">
        <v>215</v>
      </c>
      <c r="C328">
        <v>51</v>
      </c>
      <c r="D328">
        <v>1</v>
      </c>
      <c r="E328" s="2">
        <v>44412</v>
      </c>
      <c r="F328" s="3">
        <v>0.39519675925925923</v>
      </c>
      <c r="G328" s="2">
        <v>44415</v>
      </c>
      <c r="H328" s="3">
        <v>0.83964120370370365</v>
      </c>
      <c r="I328" t="s">
        <v>594</v>
      </c>
      <c r="J328" t="s">
        <v>596</v>
      </c>
      <c r="K328">
        <v>9</v>
      </c>
      <c r="L328">
        <v>20</v>
      </c>
      <c r="M328">
        <v>3</v>
      </c>
      <c r="N328">
        <v>1084</v>
      </c>
    </row>
    <row r="329" spans="1:14" x14ac:dyDescent="0.3">
      <c r="A329">
        <v>328</v>
      </c>
      <c r="B329" t="s">
        <v>119</v>
      </c>
      <c r="C329">
        <v>23</v>
      </c>
      <c r="D329">
        <v>3</v>
      </c>
      <c r="E329" s="2">
        <v>44261</v>
      </c>
      <c r="F329" s="3">
        <v>0.74418981481481483</v>
      </c>
      <c r="G329" s="2">
        <v>44265</v>
      </c>
      <c r="H329" s="3">
        <v>0.37451388888888887</v>
      </c>
      <c r="I329" t="s">
        <v>437</v>
      </c>
      <c r="J329" t="s">
        <v>589</v>
      </c>
      <c r="K329">
        <v>17</v>
      </c>
      <c r="L329">
        <v>8</v>
      </c>
      <c r="M329">
        <v>4</v>
      </c>
      <c r="N329">
        <v>1098</v>
      </c>
    </row>
    <row r="330" spans="1:14" x14ac:dyDescent="0.3">
      <c r="A330">
        <v>329</v>
      </c>
      <c r="B330" t="s">
        <v>397</v>
      </c>
      <c r="C330">
        <v>17</v>
      </c>
      <c r="D330">
        <v>3</v>
      </c>
      <c r="E330" s="2">
        <v>44559</v>
      </c>
      <c r="F330" s="3">
        <v>9.8645833333333335E-2</v>
      </c>
      <c r="G330" s="2">
        <v>44563</v>
      </c>
      <c r="H330" s="3">
        <v>0.13115740740740742</v>
      </c>
      <c r="I330" t="s">
        <v>437</v>
      </c>
      <c r="J330" t="s">
        <v>588</v>
      </c>
      <c r="K330">
        <v>2</v>
      </c>
      <c r="L330">
        <v>3</v>
      </c>
      <c r="M330">
        <v>4</v>
      </c>
      <c r="N330">
        <v>1899</v>
      </c>
    </row>
    <row r="331" spans="1:14" x14ac:dyDescent="0.3">
      <c r="A331">
        <v>330</v>
      </c>
      <c r="B331" t="s">
        <v>257</v>
      </c>
      <c r="C331">
        <v>59</v>
      </c>
      <c r="D331">
        <v>2</v>
      </c>
      <c r="E331" s="2">
        <v>44554</v>
      </c>
      <c r="F331" s="3">
        <v>0.8507986111111111</v>
      </c>
      <c r="G331" s="2">
        <v>44556</v>
      </c>
      <c r="H331" s="3">
        <v>0.51828703703703705</v>
      </c>
      <c r="I331" t="s">
        <v>429</v>
      </c>
      <c r="J331" t="s">
        <v>588</v>
      </c>
      <c r="K331">
        <v>20</v>
      </c>
      <c r="L331">
        <v>12</v>
      </c>
      <c r="M331">
        <v>2</v>
      </c>
      <c r="N331">
        <v>811</v>
      </c>
    </row>
    <row r="332" spans="1:14" x14ac:dyDescent="0.3">
      <c r="A332">
        <v>331</v>
      </c>
      <c r="B332" t="s">
        <v>115</v>
      </c>
      <c r="C332">
        <v>41</v>
      </c>
      <c r="D332">
        <v>5</v>
      </c>
      <c r="E332" s="2">
        <v>44530</v>
      </c>
      <c r="F332" s="3">
        <v>0.90967592592592594</v>
      </c>
      <c r="G332" s="2">
        <v>44533</v>
      </c>
      <c r="H332" s="3">
        <v>0.59273148148148147</v>
      </c>
      <c r="I332" t="s">
        <v>429</v>
      </c>
      <c r="J332" t="s">
        <v>597</v>
      </c>
      <c r="K332">
        <v>21</v>
      </c>
      <c r="L332">
        <v>14</v>
      </c>
      <c r="M332">
        <v>3</v>
      </c>
      <c r="N332">
        <v>1977</v>
      </c>
    </row>
    <row r="333" spans="1:14" x14ac:dyDescent="0.3">
      <c r="A333">
        <v>332</v>
      </c>
      <c r="B333" t="s">
        <v>230</v>
      </c>
      <c r="C333">
        <v>20</v>
      </c>
      <c r="D333">
        <v>5</v>
      </c>
      <c r="E333" s="2">
        <v>44311</v>
      </c>
      <c r="F333" s="3">
        <v>0.84320601851851851</v>
      </c>
      <c r="G333" s="2">
        <v>44315</v>
      </c>
      <c r="H333" s="3">
        <v>0.59078703703703705</v>
      </c>
      <c r="I333" t="s">
        <v>437</v>
      </c>
      <c r="J333" t="s">
        <v>592</v>
      </c>
      <c r="K333">
        <v>20</v>
      </c>
      <c r="L333">
        <v>14</v>
      </c>
      <c r="M333">
        <v>4</v>
      </c>
      <c r="N333">
        <v>697</v>
      </c>
    </row>
    <row r="334" spans="1:14" x14ac:dyDescent="0.3">
      <c r="A334">
        <v>333</v>
      </c>
      <c r="B334" t="s">
        <v>417</v>
      </c>
      <c r="C334">
        <v>22</v>
      </c>
      <c r="D334">
        <v>5</v>
      </c>
      <c r="E334" s="2">
        <v>44315</v>
      </c>
      <c r="F334" s="3">
        <v>0.26336805555555554</v>
      </c>
      <c r="G334" s="2">
        <v>44318</v>
      </c>
      <c r="H334" s="3">
        <v>0.1572800925925926</v>
      </c>
      <c r="I334" t="s">
        <v>594</v>
      </c>
      <c r="J334" t="s">
        <v>592</v>
      </c>
      <c r="K334">
        <v>6</v>
      </c>
      <c r="L334">
        <v>3</v>
      </c>
      <c r="M334">
        <v>3</v>
      </c>
      <c r="N334">
        <v>1639</v>
      </c>
    </row>
    <row r="335" spans="1:14" x14ac:dyDescent="0.3">
      <c r="A335">
        <v>334</v>
      </c>
      <c r="B335" t="s">
        <v>284</v>
      </c>
      <c r="C335">
        <v>53</v>
      </c>
      <c r="D335">
        <v>1</v>
      </c>
      <c r="E335" s="2">
        <v>44406</v>
      </c>
      <c r="F335" s="3">
        <v>0.88872685185185185</v>
      </c>
      <c r="G335" s="2">
        <v>44410</v>
      </c>
      <c r="H335" s="3">
        <v>0.91878472222222218</v>
      </c>
      <c r="I335" t="s">
        <v>429</v>
      </c>
      <c r="J335" t="s">
        <v>590</v>
      </c>
      <c r="K335">
        <v>21</v>
      </c>
      <c r="L335">
        <v>22</v>
      </c>
      <c r="M335">
        <v>4</v>
      </c>
      <c r="N335">
        <v>1672</v>
      </c>
    </row>
    <row r="336" spans="1:14" x14ac:dyDescent="0.3">
      <c r="A336">
        <v>335</v>
      </c>
      <c r="B336" t="s">
        <v>74</v>
      </c>
      <c r="C336">
        <v>17</v>
      </c>
      <c r="D336">
        <v>2</v>
      </c>
      <c r="E336" s="2">
        <v>44307</v>
      </c>
      <c r="F336" s="3">
        <v>8.998842592592593E-2</v>
      </c>
      <c r="G336" s="2">
        <v>44310</v>
      </c>
      <c r="H336" s="3">
        <v>9.9583333333333329E-2</v>
      </c>
      <c r="I336" t="s">
        <v>437</v>
      </c>
      <c r="J336" t="s">
        <v>592</v>
      </c>
      <c r="K336">
        <v>2</v>
      </c>
      <c r="L336">
        <v>2</v>
      </c>
      <c r="M336">
        <v>3</v>
      </c>
      <c r="N336">
        <v>1899</v>
      </c>
    </row>
    <row r="337" spans="1:14" x14ac:dyDescent="0.3">
      <c r="A337">
        <v>336</v>
      </c>
      <c r="B337" t="s">
        <v>296</v>
      </c>
      <c r="C337">
        <v>53</v>
      </c>
      <c r="D337">
        <v>1</v>
      </c>
      <c r="E337" s="2">
        <v>44219</v>
      </c>
      <c r="F337" s="3">
        <v>0.18916666666666668</v>
      </c>
      <c r="G337" s="2">
        <v>44223</v>
      </c>
      <c r="H337" s="3">
        <v>0.82936342592592593</v>
      </c>
      <c r="I337" t="s">
        <v>429</v>
      </c>
      <c r="J337" t="s">
        <v>598</v>
      </c>
      <c r="K337">
        <v>4</v>
      </c>
      <c r="L337">
        <v>19</v>
      </c>
      <c r="M337">
        <v>4</v>
      </c>
      <c r="N337">
        <v>1672</v>
      </c>
    </row>
    <row r="338" spans="1:14" x14ac:dyDescent="0.3">
      <c r="A338">
        <v>337</v>
      </c>
      <c r="B338" t="s">
        <v>53</v>
      </c>
      <c r="C338">
        <v>24</v>
      </c>
      <c r="D338">
        <v>3</v>
      </c>
      <c r="E338" s="2">
        <v>44221</v>
      </c>
      <c r="F338" s="3">
        <v>0.59805555555555556</v>
      </c>
      <c r="G338" s="2">
        <v>44227</v>
      </c>
      <c r="H338" s="3">
        <v>0.85153935185185181</v>
      </c>
      <c r="I338" t="s">
        <v>433</v>
      </c>
      <c r="J338" t="s">
        <v>598</v>
      </c>
      <c r="K338">
        <v>14</v>
      </c>
      <c r="L338">
        <v>20</v>
      </c>
      <c r="M338">
        <v>6</v>
      </c>
      <c r="N338">
        <v>535</v>
      </c>
    </row>
    <row r="339" spans="1:14" x14ac:dyDescent="0.3">
      <c r="A339">
        <v>338</v>
      </c>
      <c r="B339" t="s">
        <v>367</v>
      </c>
      <c r="C339">
        <v>21</v>
      </c>
      <c r="D339">
        <v>3</v>
      </c>
      <c r="E339" s="2">
        <v>44559</v>
      </c>
      <c r="F339" s="3">
        <v>0.59434027777777776</v>
      </c>
      <c r="G339" s="2">
        <v>44562</v>
      </c>
      <c r="H339" s="3">
        <v>6.535879629629629E-2</v>
      </c>
      <c r="I339" t="s">
        <v>429</v>
      </c>
      <c r="J339" t="s">
        <v>588</v>
      </c>
      <c r="K339">
        <v>14</v>
      </c>
      <c r="L339">
        <v>1</v>
      </c>
      <c r="M339">
        <v>3</v>
      </c>
      <c r="N339">
        <v>1561</v>
      </c>
    </row>
    <row r="340" spans="1:14" x14ac:dyDescent="0.3">
      <c r="A340">
        <v>339</v>
      </c>
      <c r="B340" t="s">
        <v>351</v>
      </c>
      <c r="C340">
        <v>8</v>
      </c>
      <c r="D340">
        <v>1</v>
      </c>
      <c r="E340" s="2">
        <v>44302</v>
      </c>
      <c r="F340" s="3">
        <v>0.83841435185185187</v>
      </c>
      <c r="G340" s="2">
        <v>44307</v>
      </c>
      <c r="H340" s="3">
        <v>0.4516087962962963</v>
      </c>
      <c r="I340" t="s">
        <v>437</v>
      </c>
      <c r="J340" t="s">
        <v>592</v>
      </c>
      <c r="K340">
        <v>20</v>
      </c>
      <c r="L340">
        <v>10</v>
      </c>
      <c r="M340">
        <v>5</v>
      </c>
      <c r="N340">
        <v>252</v>
      </c>
    </row>
    <row r="341" spans="1:14" x14ac:dyDescent="0.3">
      <c r="A341">
        <v>340</v>
      </c>
      <c r="B341" t="s">
        <v>324</v>
      </c>
      <c r="C341">
        <v>38</v>
      </c>
      <c r="D341">
        <v>3</v>
      </c>
      <c r="E341" s="2">
        <v>44531</v>
      </c>
      <c r="F341" s="3">
        <v>0.32848379629629632</v>
      </c>
      <c r="G341" s="2">
        <v>44537</v>
      </c>
      <c r="H341" s="3">
        <v>0.1222337962962963</v>
      </c>
      <c r="I341" t="s">
        <v>433</v>
      </c>
      <c r="J341" t="s">
        <v>588</v>
      </c>
      <c r="K341">
        <v>7</v>
      </c>
      <c r="L341">
        <v>2</v>
      </c>
      <c r="M341">
        <v>6</v>
      </c>
      <c r="N341">
        <v>562</v>
      </c>
    </row>
    <row r="342" spans="1:14" x14ac:dyDescent="0.3">
      <c r="A342">
        <v>341</v>
      </c>
      <c r="B342" t="s">
        <v>135</v>
      </c>
      <c r="C342">
        <v>9</v>
      </c>
      <c r="D342">
        <v>2</v>
      </c>
      <c r="E342" s="2">
        <v>44296</v>
      </c>
      <c r="F342" s="3">
        <v>0.62123842592592593</v>
      </c>
      <c r="G342" s="2">
        <v>44299</v>
      </c>
      <c r="H342" s="3">
        <v>0.93903935185185183</v>
      </c>
      <c r="I342" t="s">
        <v>429</v>
      </c>
      <c r="J342" t="s">
        <v>592</v>
      </c>
      <c r="K342">
        <v>14</v>
      </c>
      <c r="L342">
        <v>22</v>
      </c>
      <c r="M342">
        <v>3</v>
      </c>
      <c r="N342">
        <v>1605</v>
      </c>
    </row>
    <row r="343" spans="1:14" x14ac:dyDescent="0.3">
      <c r="A343">
        <v>342</v>
      </c>
      <c r="B343" t="s">
        <v>269</v>
      </c>
      <c r="C343">
        <v>36</v>
      </c>
      <c r="D343">
        <v>5</v>
      </c>
      <c r="E343" s="2">
        <v>44415</v>
      </c>
      <c r="F343" s="3">
        <v>0.16924768518518518</v>
      </c>
      <c r="G343" s="2">
        <v>44421</v>
      </c>
      <c r="H343" s="3">
        <v>0.68490740740740741</v>
      </c>
      <c r="I343" t="s">
        <v>433</v>
      </c>
      <c r="J343" t="s">
        <v>596</v>
      </c>
      <c r="K343">
        <v>4</v>
      </c>
      <c r="L343">
        <v>16</v>
      </c>
      <c r="M343">
        <v>6</v>
      </c>
      <c r="N343">
        <v>203</v>
      </c>
    </row>
    <row r="344" spans="1:14" x14ac:dyDescent="0.3">
      <c r="A344">
        <v>343</v>
      </c>
      <c r="B344" t="s">
        <v>44</v>
      </c>
      <c r="C344">
        <v>66</v>
      </c>
      <c r="D344">
        <v>3</v>
      </c>
      <c r="E344" s="2">
        <v>44525</v>
      </c>
      <c r="F344" s="3">
        <v>0.59212962962962967</v>
      </c>
      <c r="G344" s="2">
        <v>44531</v>
      </c>
      <c r="H344" s="3">
        <v>0.39380787037037035</v>
      </c>
      <c r="I344" t="s">
        <v>433</v>
      </c>
      <c r="J344" t="s">
        <v>597</v>
      </c>
      <c r="K344">
        <v>14</v>
      </c>
      <c r="L344">
        <v>9</v>
      </c>
      <c r="M344">
        <v>6</v>
      </c>
      <c r="N344">
        <v>610</v>
      </c>
    </row>
    <row r="345" spans="1:14" x14ac:dyDescent="0.3">
      <c r="A345">
        <v>344</v>
      </c>
      <c r="B345" t="s">
        <v>103</v>
      </c>
      <c r="C345">
        <v>28</v>
      </c>
      <c r="D345">
        <v>5</v>
      </c>
      <c r="E345" s="2">
        <v>44391</v>
      </c>
      <c r="F345" s="3">
        <v>0.71275462962962965</v>
      </c>
      <c r="G345" s="2">
        <v>44395</v>
      </c>
      <c r="H345" s="3">
        <v>0.26952546296296298</v>
      </c>
      <c r="I345" t="s">
        <v>429</v>
      </c>
      <c r="J345" t="s">
        <v>590</v>
      </c>
      <c r="K345">
        <v>17</v>
      </c>
      <c r="L345">
        <v>6</v>
      </c>
      <c r="M345">
        <v>4</v>
      </c>
      <c r="N345">
        <v>1778</v>
      </c>
    </row>
    <row r="346" spans="1:14" x14ac:dyDescent="0.3">
      <c r="A346">
        <v>345</v>
      </c>
      <c r="B346" t="s">
        <v>246</v>
      </c>
      <c r="C346">
        <v>45</v>
      </c>
      <c r="D346">
        <v>4</v>
      </c>
      <c r="E346" s="2">
        <v>44222</v>
      </c>
      <c r="F346" s="3">
        <v>0.65326388888888887</v>
      </c>
      <c r="G346" s="2">
        <v>44227</v>
      </c>
      <c r="H346" s="3">
        <v>0.96633101851851855</v>
      </c>
      <c r="I346" t="s">
        <v>433</v>
      </c>
      <c r="J346" t="s">
        <v>598</v>
      </c>
      <c r="K346">
        <v>15</v>
      </c>
      <c r="L346">
        <v>23</v>
      </c>
      <c r="M346">
        <v>5</v>
      </c>
      <c r="N346">
        <v>722</v>
      </c>
    </row>
    <row r="347" spans="1:14" x14ac:dyDescent="0.3">
      <c r="A347">
        <v>346</v>
      </c>
      <c r="B347" t="s">
        <v>378</v>
      </c>
      <c r="C347">
        <v>50</v>
      </c>
      <c r="D347">
        <v>1</v>
      </c>
      <c r="E347" s="2">
        <v>44560</v>
      </c>
      <c r="F347" s="3">
        <v>0.9751967592592593</v>
      </c>
      <c r="G347" s="2">
        <v>44565</v>
      </c>
      <c r="H347" s="3">
        <v>0.69900462962962961</v>
      </c>
      <c r="I347" t="s">
        <v>433</v>
      </c>
      <c r="J347" t="s">
        <v>588</v>
      </c>
      <c r="K347">
        <v>23</v>
      </c>
      <c r="L347">
        <v>16</v>
      </c>
      <c r="M347">
        <v>5</v>
      </c>
      <c r="N347">
        <v>422</v>
      </c>
    </row>
    <row r="348" spans="1:14" x14ac:dyDescent="0.3">
      <c r="A348">
        <v>347</v>
      </c>
      <c r="B348" t="s">
        <v>159</v>
      </c>
      <c r="C348">
        <v>34</v>
      </c>
      <c r="D348">
        <v>2</v>
      </c>
      <c r="E348" s="2">
        <v>44245</v>
      </c>
      <c r="F348" s="3">
        <v>0.40718749999999998</v>
      </c>
      <c r="G348" s="2">
        <v>44247</v>
      </c>
      <c r="H348" s="3">
        <v>0.35913194444444446</v>
      </c>
      <c r="I348" t="s">
        <v>429</v>
      </c>
      <c r="J348" t="s">
        <v>599</v>
      </c>
      <c r="K348">
        <v>9</v>
      </c>
      <c r="L348">
        <v>8</v>
      </c>
      <c r="M348">
        <v>2</v>
      </c>
      <c r="N348">
        <v>1335</v>
      </c>
    </row>
    <row r="349" spans="1:14" x14ac:dyDescent="0.3">
      <c r="A349">
        <v>348</v>
      </c>
      <c r="B349" t="s">
        <v>261</v>
      </c>
      <c r="C349">
        <v>30</v>
      </c>
      <c r="D349">
        <v>2</v>
      </c>
      <c r="E349" s="2">
        <v>44234</v>
      </c>
      <c r="F349" s="3">
        <v>0.85667824074074073</v>
      </c>
      <c r="G349" s="2">
        <v>44237</v>
      </c>
      <c r="H349" s="3">
        <v>0.50207175925925929</v>
      </c>
      <c r="I349" t="s">
        <v>437</v>
      </c>
      <c r="J349" t="s">
        <v>599</v>
      </c>
      <c r="K349">
        <v>20</v>
      </c>
      <c r="L349">
        <v>12</v>
      </c>
      <c r="M349">
        <v>3</v>
      </c>
      <c r="N349">
        <v>751</v>
      </c>
    </row>
    <row r="350" spans="1:14" x14ac:dyDescent="0.3">
      <c r="A350">
        <v>349</v>
      </c>
      <c r="B350" t="s">
        <v>91</v>
      </c>
      <c r="C350">
        <v>44</v>
      </c>
      <c r="D350">
        <v>4</v>
      </c>
      <c r="E350" s="2">
        <v>44348</v>
      </c>
      <c r="F350" s="3">
        <v>0.14765046296296297</v>
      </c>
      <c r="G350" s="2">
        <v>44353</v>
      </c>
      <c r="H350" s="3">
        <v>0.43834490740740739</v>
      </c>
      <c r="I350" t="s">
        <v>429</v>
      </c>
      <c r="J350" t="s">
        <v>586</v>
      </c>
      <c r="K350">
        <v>3</v>
      </c>
      <c r="L350">
        <v>10</v>
      </c>
      <c r="M350">
        <v>5</v>
      </c>
      <c r="N350">
        <v>794</v>
      </c>
    </row>
    <row r="351" spans="1:14" x14ac:dyDescent="0.3">
      <c r="A351">
        <v>350</v>
      </c>
      <c r="B351" t="s">
        <v>103</v>
      </c>
      <c r="C351">
        <v>19</v>
      </c>
      <c r="D351">
        <v>3</v>
      </c>
      <c r="E351" s="2">
        <v>44424</v>
      </c>
      <c r="F351" s="3">
        <v>0.51593750000000005</v>
      </c>
      <c r="G351" s="2">
        <v>44427</v>
      </c>
      <c r="H351" s="3">
        <v>0.68483796296296295</v>
      </c>
      <c r="I351" t="s">
        <v>591</v>
      </c>
      <c r="J351" t="s">
        <v>596</v>
      </c>
      <c r="K351">
        <v>12</v>
      </c>
      <c r="L351">
        <v>16</v>
      </c>
      <c r="M351">
        <v>3</v>
      </c>
      <c r="N351">
        <v>1234</v>
      </c>
    </row>
    <row r="352" spans="1:14" x14ac:dyDescent="0.3">
      <c r="A352">
        <v>351</v>
      </c>
      <c r="B352" t="s">
        <v>413</v>
      </c>
      <c r="C352">
        <v>1</v>
      </c>
      <c r="D352">
        <v>1</v>
      </c>
      <c r="E352" s="2">
        <v>44398</v>
      </c>
      <c r="F352" s="3">
        <v>0.63271990740740736</v>
      </c>
      <c r="G352" s="2">
        <v>44401</v>
      </c>
      <c r="H352" s="3">
        <v>0.93748842592592596</v>
      </c>
      <c r="I352" t="s">
        <v>594</v>
      </c>
      <c r="J352" t="s">
        <v>590</v>
      </c>
      <c r="K352">
        <v>15</v>
      </c>
      <c r="L352">
        <v>22</v>
      </c>
      <c r="M352">
        <v>3</v>
      </c>
      <c r="N352">
        <v>1935</v>
      </c>
    </row>
    <row r="353" spans="1:14" x14ac:dyDescent="0.3">
      <c r="A353">
        <v>352</v>
      </c>
      <c r="B353" t="s">
        <v>339</v>
      </c>
      <c r="C353">
        <v>28</v>
      </c>
      <c r="D353">
        <v>1</v>
      </c>
      <c r="E353" s="2">
        <v>44502</v>
      </c>
      <c r="F353" s="3">
        <v>0.99288194444444444</v>
      </c>
      <c r="G353" s="2">
        <v>44506</v>
      </c>
      <c r="H353" s="3">
        <v>0.3853240740740741</v>
      </c>
      <c r="I353" t="s">
        <v>429</v>
      </c>
      <c r="J353" t="s">
        <v>597</v>
      </c>
      <c r="K353">
        <v>23</v>
      </c>
      <c r="L353">
        <v>9</v>
      </c>
      <c r="M353">
        <v>4</v>
      </c>
      <c r="N353">
        <v>1778</v>
      </c>
    </row>
    <row r="354" spans="1:14" x14ac:dyDescent="0.3">
      <c r="A354">
        <v>353</v>
      </c>
      <c r="B354" t="s">
        <v>375</v>
      </c>
      <c r="C354">
        <v>55</v>
      </c>
      <c r="D354">
        <v>2</v>
      </c>
      <c r="E354" s="2">
        <v>44526</v>
      </c>
      <c r="F354" s="3">
        <v>0.40517361111111111</v>
      </c>
      <c r="G354" s="2">
        <v>44528</v>
      </c>
      <c r="H354" s="3">
        <v>0.59182870370370366</v>
      </c>
      <c r="I354" t="s">
        <v>429</v>
      </c>
      <c r="J354" t="s">
        <v>597</v>
      </c>
      <c r="K354">
        <v>9</v>
      </c>
      <c r="L354">
        <v>14</v>
      </c>
      <c r="M354">
        <v>2</v>
      </c>
      <c r="N354">
        <v>1904</v>
      </c>
    </row>
    <row r="355" spans="1:14" x14ac:dyDescent="0.3">
      <c r="A355">
        <v>354</v>
      </c>
      <c r="B355" t="s">
        <v>367</v>
      </c>
      <c r="C355">
        <v>13</v>
      </c>
      <c r="D355">
        <v>5</v>
      </c>
      <c r="E355" s="2">
        <v>44518</v>
      </c>
      <c r="F355" s="3">
        <v>0.72601851851851851</v>
      </c>
      <c r="G355" s="2">
        <v>44524</v>
      </c>
      <c r="H355" s="3">
        <v>0.40523148148148147</v>
      </c>
      <c r="I355" t="s">
        <v>433</v>
      </c>
      <c r="J355" t="s">
        <v>597</v>
      </c>
      <c r="K355">
        <v>17</v>
      </c>
      <c r="L355">
        <v>9</v>
      </c>
      <c r="M355">
        <v>6</v>
      </c>
      <c r="N355">
        <v>1141</v>
      </c>
    </row>
    <row r="356" spans="1:14" x14ac:dyDescent="0.3">
      <c r="A356">
        <v>355</v>
      </c>
      <c r="B356" t="s">
        <v>413</v>
      </c>
      <c r="C356">
        <v>10</v>
      </c>
      <c r="D356">
        <v>1</v>
      </c>
      <c r="E356" s="2">
        <v>44275</v>
      </c>
      <c r="F356" s="3">
        <v>0.20328703703703704</v>
      </c>
      <c r="G356" s="2">
        <v>44277</v>
      </c>
      <c r="H356" s="3">
        <v>0.40177083333333335</v>
      </c>
      <c r="I356" t="s">
        <v>433</v>
      </c>
      <c r="J356" t="s">
        <v>589</v>
      </c>
      <c r="K356">
        <v>4</v>
      </c>
      <c r="L356">
        <v>9</v>
      </c>
      <c r="M356">
        <v>2</v>
      </c>
      <c r="N356">
        <v>259</v>
      </c>
    </row>
    <row r="357" spans="1:14" x14ac:dyDescent="0.3">
      <c r="A357">
        <v>356</v>
      </c>
      <c r="B357" t="s">
        <v>135</v>
      </c>
      <c r="C357">
        <v>14</v>
      </c>
      <c r="D357">
        <v>1</v>
      </c>
      <c r="E357" s="2">
        <v>44313</v>
      </c>
      <c r="F357" s="3">
        <v>2.8935185185185185E-2</v>
      </c>
      <c r="G357" s="2">
        <v>44319</v>
      </c>
      <c r="H357" s="3">
        <v>0.18868055555555555</v>
      </c>
      <c r="I357" t="s">
        <v>433</v>
      </c>
      <c r="J357" t="s">
        <v>592</v>
      </c>
      <c r="K357">
        <v>0</v>
      </c>
      <c r="L357">
        <v>4</v>
      </c>
      <c r="M357">
        <v>6</v>
      </c>
      <c r="N357">
        <v>1915</v>
      </c>
    </row>
    <row r="358" spans="1:14" x14ac:dyDescent="0.3">
      <c r="A358">
        <v>357</v>
      </c>
      <c r="B358" t="s">
        <v>273</v>
      </c>
      <c r="C358">
        <v>62</v>
      </c>
      <c r="D358">
        <v>4</v>
      </c>
      <c r="E358" s="2">
        <v>44545</v>
      </c>
      <c r="F358" s="3">
        <v>0.83423611111111107</v>
      </c>
      <c r="G358" s="2">
        <v>44550</v>
      </c>
      <c r="H358" s="3">
        <v>0.87192129629629633</v>
      </c>
      <c r="I358" t="s">
        <v>433</v>
      </c>
      <c r="J358" t="s">
        <v>588</v>
      </c>
      <c r="K358">
        <v>20</v>
      </c>
      <c r="L358">
        <v>20</v>
      </c>
      <c r="M358">
        <v>5</v>
      </c>
      <c r="N358">
        <v>1356</v>
      </c>
    </row>
    <row r="359" spans="1:14" x14ac:dyDescent="0.3">
      <c r="A359">
        <v>358</v>
      </c>
      <c r="B359" t="s">
        <v>183</v>
      </c>
      <c r="C359">
        <v>55</v>
      </c>
      <c r="D359">
        <v>1</v>
      </c>
      <c r="E359" s="2">
        <v>44282</v>
      </c>
      <c r="F359" s="3">
        <v>0.7038078703703704</v>
      </c>
      <c r="G359" s="2">
        <v>44284</v>
      </c>
      <c r="H359" s="3">
        <v>0.56292824074074077</v>
      </c>
      <c r="I359" t="s">
        <v>429</v>
      </c>
      <c r="J359" t="s">
        <v>589</v>
      </c>
      <c r="K359">
        <v>16</v>
      </c>
      <c r="L359">
        <v>13</v>
      </c>
      <c r="M359">
        <v>2</v>
      </c>
      <c r="N359">
        <v>1904</v>
      </c>
    </row>
    <row r="360" spans="1:14" x14ac:dyDescent="0.3">
      <c r="A360">
        <v>359</v>
      </c>
      <c r="B360" t="s">
        <v>230</v>
      </c>
      <c r="C360">
        <v>47</v>
      </c>
      <c r="D360">
        <v>2</v>
      </c>
      <c r="E360" s="2">
        <v>44222</v>
      </c>
      <c r="F360" s="3">
        <v>0.50944444444444448</v>
      </c>
      <c r="G360" s="2">
        <v>44224</v>
      </c>
      <c r="H360" s="3">
        <v>0.85520833333333335</v>
      </c>
      <c r="I360" t="s">
        <v>433</v>
      </c>
      <c r="J360" t="s">
        <v>598</v>
      </c>
      <c r="K360">
        <v>12</v>
      </c>
      <c r="L360">
        <v>20</v>
      </c>
      <c r="M360">
        <v>2</v>
      </c>
      <c r="N360">
        <v>1638</v>
      </c>
    </row>
    <row r="361" spans="1:14" x14ac:dyDescent="0.3">
      <c r="A361">
        <v>360</v>
      </c>
      <c r="B361" t="s">
        <v>413</v>
      </c>
      <c r="C361">
        <v>41</v>
      </c>
      <c r="D361">
        <v>1</v>
      </c>
      <c r="E361" s="2">
        <v>44442</v>
      </c>
      <c r="F361" s="3">
        <v>0.1332986111111111</v>
      </c>
      <c r="G361" s="2">
        <v>44445</v>
      </c>
      <c r="H361" s="3">
        <v>0.73994212962962957</v>
      </c>
      <c r="I361" t="s">
        <v>429</v>
      </c>
      <c r="J361" t="s">
        <v>595</v>
      </c>
      <c r="K361">
        <v>3</v>
      </c>
      <c r="L361">
        <v>17</v>
      </c>
      <c r="M361">
        <v>3</v>
      </c>
      <c r="N361">
        <v>1977</v>
      </c>
    </row>
    <row r="362" spans="1:14" x14ac:dyDescent="0.3">
      <c r="A362">
        <v>361</v>
      </c>
      <c r="B362" t="s">
        <v>218</v>
      </c>
      <c r="C362">
        <v>47</v>
      </c>
      <c r="D362">
        <v>4</v>
      </c>
      <c r="E362" s="2">
        <v>44273</v>
      </c>
      <c r="F362" s="3">
        <v>0.25689814814814815</v>
      </c>
      <c r="G362" s="2">
        <v>44278</v>
      </c>
      <c r="H362" s="3">
        <v>0.35636574074074073</v>
      </c>
      <c r="I362" t="s">
        <v>433</v>
      </c>
      <c r="J362" t="s">
        <v>589</v>
      </c>
      <c r="K362">
        <v>6</v>
      </c>
      <c r="L362">
        <v>8</v>
      </c>
      <c r="M362">
        <v>5</v>
      </c>
      <c r="N362">
        <v>1638</v>
      </c>
    </row>
    <row r="363" spans="1:14" x14ac:dyDescent="0.3">
      <c r="A363">
        <v>362</v>
      </c>
      <c r="B363" t="s">
        <v>187</v>
      </c>
      <c r="C363">
        <v>31</v>
      </c>
      <c r="D363">
        <v>2</v>
      </c>
      <c r="E363" s="2">
        <v>44298</v>
      </c>
      <c r="F363" s="3">
        <v>0.15278935185185186</v>
      </c>
      <c r="G363" s="2">
        <v>44301</v>
      </c>
      <c r="H363" s="3">
        <v>0.44123842592592594</v>
      </c>
      <c r="I363" t="s">
        <v>594</v>
      </c>
      <c r="J363" t="s">
        <v>592</v>
      </c>
      <c r="K363">
        <v>3</v>
      </c>
      <c r="L363">
        <v>10</v>
      </c>
      <c r="M363">
        <v>3</v>
      </c>
      <c r="N363">
        <v>1804</v>
      </c>
    </row>
    <row r="364" spans="1:14" x14ac:dyDescent="0.3">
      <c r="A364">
        <v>363</v>
      </c>
      <c r="B364" t="s">
        <v>111</v>
      </c>
      <c r="C364">
        <v>15</v>
      </c>
      <c r="D364">
        <v>2</v>
      </c>
      <c r="E364" s="2">
        <v>44224</v>
      </c>
      <c r="F364" s="3">
        <v>0.79237268518518522</v>
      </c>
      <c r="G364" s="2">
        <v>44230</v>
      </c>
      <c r="H364" s="3">
        <v>7.6805555555555557E-2</v>
      </c>
      <c r="I364" t="s">
        <v>437</v>
      </c>
      <c r="J364" t="s">
        <v>598</v>
      </c>
      <c r="K364">
        <v>19</v>
      </c>
      <c r="L364">
        <v>1</v>
      </c>
      <c r="M364">
        <v>6</v>
      </c>
      <c r="N364">
        <v>1488</v>
      </c>
    </row>
    <row r="365" spans="1:14" x14ac:dyDescent="0.3">
      <c r="A365">
        <v>364</v>
      </c>
      <c r="B365" t="s">
        <v>30</v>
      </c>
      <c r="C365">
        <v>43</v>
      </c>
      <c r="D365">
        <v>3</v>
      </c>
      <c r="E365" s="2">
        <v>44239</v>
      </c>
      <c r="F365" s="3">
        <v>0.25626157407407407</v>
      </c>
      <c r="G365" s="2">
        <v>44242</v>
      </c>
      <c r="H365" s="3">
        <v>0.19274305555555554</v>
      </c>
      <c r="I365" t="s">
        <v>429</v>
      </c>
      <c r="J365" t="s">
        <v>599</v>
      </c>
      <c r="K365">
        <v>6</v>
      </c>
      <c r="L365">
        <v>4</v>
      </c>
      <c r="M365">
        <v>3</v>
      </c>
      <c r="N365">
        <v>750</v>
      </c>
    </row>
    <row r="366" spans="1:14" x14ac:dyDescent="0.3">
      <c r="A366">
        <v>365</v>
      </c>
      <c r="B366" t="s">
        <v>135</v>
      </c>
      <c r="C366">
        <v>8</v>
      </c>
      <c r="D366">
        <v>5</v>
      </c>
      <c r="E366" s="2">
        <v>44312</v>
      </c>
      <c r="F366" s="3">
        <v>0.6470717592592593</v>
      </c>
      <c r="G366" s="2">
        <v>44316</v>
      </c>
      <c r="H366" s="3">
        <v>0.4274189814814815</v>
      </c>
      <c r="I366" t="s">
        <v>437</v>
      </c>
      <c r="J366" t="s">
        <v>592</v>
      </c>
      <c r="K366">
        <v>15</v>
      </c>
      <c r="L366">
        <v>10</v>
      </c>
      <c r="M366">
        <v>4</v>
      </c>
      <c r="N366">
        <v>252</v>
      </c>
    </row>
    <row r="367" spans="1:14" x14ac:dyDescent="0.3">
      <c r="A367">
        <v>366</v>
      </c>
      <c r="B367" t="s">
        <v>155</v>
      </c>
      <c r="C367">
        <v>3</v>
      </c>
      <c r="D367">
        <v>3</v>
      </c>
      <c r="E367" s="2">
        <v>44280</v>
      </c>
      <c r="F367" s="3">
        <v>0.96929398148148149</v>
      </c>
      <c r="G367" s="2">
        <v>44285</v>
      </c>
      <c r="H367" s="3">
        <v>0.45252314814814815</v>
      </c>
      <c r="I367" t="s">
        <v>591</v>
      </c>
      <c r="J367" t="s">
        <v>589</v>
      </c>
      <c r="K367">
        <v>23</v>
      </c>
      <c r="L367">
        <v>10</v>
      </c>
      <c r="M367">
        <v>5</v>
      </c>
      <c r="N367">
        <v>1534</v>
      </c>
    </row>
    <row r="368" spans="1:14" x14ac:dyDescent="0.3">
      <c r="A368">
        <v>367</v>
      </c>
      <c r="B368" t="s">
        <v>62</v>
      </c>
      <c r="C368">
        <v>47</v>
      </c>
      <c r="D368">
        <v>5</v>
      </c>
      <c r="E368" s="2">
        <v>44370</v>
      </c>
      <c r="F368" s="3">
        <v>3.0659722222222224E-2</v>
      </c>
      <c r="G368" s="2">
        <v>44372</v>
      </c>
      <c r="H368" s="3">
        <v>0.62850694444444444</v>
      </c>
      <c r="I368" t="s">
        <v>433</v>
      </c>
      <c r="J368" t="s">
        <v>586</v>
      </c>
      <c r="K368">
        <v>0</v>
      </c>
      <c r="L368">
        <v>15</v>
      </c>
      <c r="M368">
        <v>2</v>
      </c>
      <c r="N368">
        <v>1638</v>
      </c>
    </row>
    <row r="369" spans="1:14" x14ac:dyDescent="0.3">
      <c r="A369">
        <v>368</v>
      </c>
      <c r="B369" t="s">
        <v>191</v>
      </c>
      <c r="C369">
        <v>6</v>
      </c>
      <c r="D369">
        <v>3</v>
      </c>
      <c r="E369" s="2">
        <v>44304</v>
      </c>
      <c r="F369" s="3">
        <v>0.96067129629629633</v>
      </c>
      <c r="G369" s="2">
        <v>44306</v>
      </c>
      <c r="H369" s="3">
        <v>0.11956018518518519</v>
      </c>
      <c r="I369" t="s">
        <v>433</v>
      </c>
      <c r="J369" t="s">
        <v>592</v>
      </c>
      <c r="K369">
        <v>23</v>
      </c>
      <c r="L369">
        <v>2</v>
      </c>
      <c r="M369">
        <v>2</v>
      </c>
      <c r="N369">
        <v>1112</v>
      </c>
    </row>
    <row r="370" spans="1:14" x14ac:dyDescent="0.3">
      <c r="A370">
        <v>369</v>
      </c>
      <c r="B370" t="s">
        <v>79</v>
      </c>
      <c r="C370">
        <v>63</v>
      </c>
      <c r="D370">
        <v>3</v>
      </c>
      <c r="E370" s="2">
        <v>44445</v>
      </c>
      <c r="F370" s="3">
        <v>0.30814814814814817</v>
      </c>
      <c r="G370" s="2">
        <v>44447</v>
      </c>
      <c r="H370" s="3">
        <v>0.18645833333333334</v>
      </c>
      <c r="I370" t="s">
        <v>594</v>
      </c>
      <c r="J370" t="s">
        <v>595</v>
      </c>
      <c r="K370">
        <v>7</v>
      </c>
      <c r="L370">
        <v>4</v>
      </c>
      <c r="M370">
        <v>2</v>
      </c>
      <c r="N370">
        <v>1348</v>
      </c>
    </row>
    <row r="371" spans="1:14" x14ac:dyDescent="0.3">
      <c r="A371">
        <v>370</v>
      </c>
      <c r="B371" t="s">
        <v>312</v>
      </c>
      <c r="C371">
        <v>54</v>
      </c>
      <c r="D371">
        <v>2</v>
      </c>
      <c r="E371" s="2">
        <v>44529</v>
      </c>
      <c r="F371" s="3">
        <v>0.24836805555555555</v>
      </c>
      <c r="G371" s="2">
        <v>44535</v>
      </c>
      <c r="H371" s="3">
        <v>0.79282407407407407</v>
      </c>
      <c r="I371" t="s">
        <v>437</v>
      </c>
      <c r="J371" t="s">
        <v>597</v>
      </c>
      <c r="K371">
        <v>5</v>
      </c>
      <c r="L371">
        <v>19</v>
      </c>
      <c r="M371">
        <v>6</v>
      </c>
      <c r="N371">
        <v>1236</v>
      </c>
    </row>
    <row r="372" spans="1:14" x14ac:dyDescent="0.3">
      <c r="A372">
        <v>371</v>
      </c>
      <c r="B372" t="s">
        <v>378</v>
      </c>
      <c r="C372">
        <v>23</v>
      </c>
      <c r="D372">
        <v>4</v>
      </c>
      <c r="E372" s="2">
        <v>44398</v>
      </c>
      <c r="F372" s="3">
        <v>6.1087962962962962E-2</v>
      </c>
      <c r="G372" s="2">
        <v>44400</v>
      </c>
      <c r="H372" s="3">
        <v>0.43665509259259261</v>
      </c>
      <c r="I372" t="s">
        <v>437</v>
      </c>
      <c r="J372" t="s">
        <v>590</v>
      </c>
      <c r="K372">
        <v>1</v>
      </c>
      <c r="L372">
        <v>10</v>
      </c>
      <c r="M372">
        <v>2</v>
      </c>
      <c r="N372">
        <v>1098</v>
      </c>
    </row>
    <row r="373" spans="1:14" x14ac:dyDescent="0.3">
      <c r="A373">
        <v>372</v>
      </c>
      <c r="B373" t="s">
        <v>44</v>
      </c>
      <c r="C373">
        <v>25</v>
      </c>
      <c r="D373">
        <v>3</v>
      </c>
      <c r="E373" s="2">
        <v>44502</v>
      </c>
      <c r="F373" s="3">
        <v>0.79473379629629626</v>
      </c>
      <c r="G373" s="2">
        <v>44506</v>
      </c>
      <c r="H373" s="3">
        <v>0.76997685185185183</v>
      </c>
      <c r="I373" t="s">
        <v>437</v>
      </c>
      <c r="J373" t="s">
        <v>597</v>
      </c>
      <c r="K373">
        <v>19</v>
      </c>
      <c r="L373">
        <v>18</v>
      </c>
      <c r="M373">
        <v>4</v>
      </c>
      <c r="N373">
        <v>1202</v>
      </c>
    </row>
    <row r="374" spans="1:14" x14ac:dyDescent="0.3">
      <c r="A374">
        <v>373</v>
      </c>
      <c r="B374" t="s">
        <v>127</v>
      </c>
      <c r="C374">
        <v>65</v>
      </c>
      <c r="D374">
        <v>2</v>
      </c>
      <c r="E374" s="2">
        <v>44566</v>
      </c>
      <c r="F374" s="3">
        <v>0.8674884259259259</v>
      </c>
      <c r="G374" s="2">
        <v>44571</v>
      </c>
      <c r="H374" s="3">
        <v>0.99837962962962967</v>
      </c>
      <c r="I374" t="s">
        <v>594</v>
      </c>
      <c r="J374" t="s">
        <v>598</v>
      </c>
      <c r="K374">
        <v>20</v>
      </c>
      <c r="L374">
        <v>23</v>
      </c>
      <c r="M374">
        <v>5</v>
      </c>
      <c r="N374">
        <v>1895</v>
      </c>
    </row>
    <row r="375" spans="1:14" x14ac:dyDescent="0.3">
      <c r="A375">
        <v>374</v>
      </c>
      <c r="B375" t="s">
        <v>367</v>
      </c>
      <c r="C375">
        <v>4</v>
      </c>
      <c r="D375">
        <v>1</v>
      </c>
      <c r="E375" s="2">
        <v>44479</v>
      </c>
      <c r="F375" s="3">
        <v>0.32467592592592592</v>
      </c>
      <c r="G375" s="2">
        <v>44485</v>
      </c>
      <c r="H375" s="3">
        <v>0.93939814814814815</v>
      </c>
      <c r="I375" t="s">
        <v>429</v>
      </c>
      <c r="J375" t="s">
        <v>587</v>
      </c>
      <c r="K375">
        <v>7</v>
      </c>
      <c r="L375">
        <v>22</v>
      </c>
      <c r="M375">
        <v>6</v>
      </c>
      <c r="N375">
        <v>1199</v>
      </c>
    </row>
    <row r="376" spans="1:14" x14ac:dyDescent="0.3">
      <c r="A376">
        <v>375</v>
      </c>
      <c r="B376" t="s">
        <v>382</v>
      </c>
      <c r="C376">
        <v>46</v>
      </c>
      <c r="D376">
        <v>1</v>
      </c>
      <c r="E376" s="2">
        <v>44565</v>
      </c>
      <c r="F376" s="3">
        <v>0.17806712962962962</v>
      </c>
      <c r="G376" s="2">
        <v>44568</v>
      </c>
      <c r="H376" s="3">
        <v>0.8178009259259259</v>
      </c>
      <c r="I376" t="s">
        <v>437</v>
      </c>
      <c r="J376" t="s">
        <v>598</v>
      </c>
      <c r="K376">
        <v>4</v>
      </c>
      <c r="L376">
        <v>19</v>
      </c>
      <c r="M376">
        <v>3</v>
      </c>
      <c r="N376">
        <v>758</v>
      </c>
    </row>
    <row r="377" spans="1:14" x14ac:dyDescent="0.3">
      <c r="A377">
        <v>376</v>
      </c>
      <c r="B377" t="s">
        <v>405</v>
      </c>
      <c r="C377">
        <v>10</v>
      </c>
      <c r="D377">
        <v>2</v>
      </c>
      <c r="E377" s="2">
        <v>44561</v>
      </c>
      <c r="F377" s="3">
        <v>0.84620370370370368</v>
      </c>
      <c r="G377" s="2">
        <v>44565</v>
      </c>
      <c r="H377" s="3">
        <v>0.99168981481481477</v>
      </c>
      <c r="I377" t="s">
        <v>433</v>
      </c>
      <c r="J377" t="s">
        <v>588</v>
      </c>
      <c r="K377">
        <v>20</v>
      </c>
      <c r="L377">
        <v>23</v>
      </c>
      <c r="M377">
        <v>4</v>
      </c>
      <c r="N377">
        <v>259</v>
      </c>
    </row>
    <row r="378" spans="1:14" x14ac:dyDescent="0.3">
      <c r="A378">
        <v>377</v>
      </c>
      <c r="B378" t="s">
        <v>74</v>
      </c>
      <c r="C378">
        <v>55</v>
      </c>
      <c r="D378">
        <v>4</v>
      </c>
      <c r="E378" s="2">
        <v>44543</v>
      </c>
      <c r="F378" s="3">
        <v>0.35701388888888891</v>
      </c>
      <c r="G378" s="2">
        <v>44549</v>
      </c>
      <c r="H378" s="3">
        <v>0.49107638888888888</v>
      </c>
      <c r="I378" t="s">
        <v>429</v>
      </c>
      <c r="J378" t="s">
        <v>588</v>
      </c>
      <c r="K378">
        <v>8</v>
      </c>
      <c r="L378">
        <v>11</v>
      </c>
      <c r="M378">
        <v>6</v>
      </c>
      <c r="N378">
        <v>1904</v>
      </c>
    </row>
    <row r="379" spans="1:14" x14ac:dyDescent="0.3">
      <c r="A379">
        <v>378</v>
      </c>
      <c r="B379" t="s">
        <v>183</v>
      </c>
      <c r="C379">
        <v>6</v>
      </c>
      <c r="D379">
        <v>2</v>
      </c>
      <c r="E379" s="2">
        <v>44257</v>
      </c>
      <c r="F379" s="3">
        <v>0.47939814814814813</v>
      </c>
      <c r="G379" s="2">
        <v>44259</v>
      </c>
      <c r="H379" s="3">
        <v>0.81032407407407403</v>
      </c>
      <c r="I379" t="s">
        <v>433</v>
      </c>
      <c r="J379" t="s">
        <v>589</v>
      </c>
      <c r="K379">
        <v>11</v>
      </c>
      <c r="L379">
        <v>19</v>
      </c>
      <c r="M379">
        <v>2</v>
      </c>
      <c r="N379">
        <v>1112</v>
      </c>
    </row>
    <row r="380" spans="1:14" x14ac:dyDescent="0.3">
      <c r="A380">
        <v>379</v>
      </c>
      <c r="B380" t="s">
        <v>332</v>
      </c>
      <c r="C380">
        <v>66</v>
      </c>
      <c r="D380">
        <v>1</v>
      </c>
      <c r="E380" s="2">
        <v>44267</v>
      </c>
      <c r="F380" s="3">
        <v>0.98033564814814811</v>
      </c>
      <c r="G380" s="2">
        <v>44273</v>
      </c>
      <c r="H380" s="3">
        <v>0.44725694444444447</v>
      </c>
      <c r="I380" t="s">
        <v>433</v>
      </c>
      <c r="J380" t="s">
        <v>589</v>
      </c>
      <c r="K380">
        <v>23</v>
      </c>
      <c r="L380">
        <v>10</v>
      </c>
      <c r="M380">
        <v>6</v>
      </c>
      <c r="N380">
        <v>610</v>
      </c>
    </row>
    <row r="381" spans="1:14" x14ac:dyDescent="0.3">
      <c r="A381">
        <v>380</v>
      </c>
      <c r="B381" t="s">
        <v>58</v>
      </c>
      <c r="C381">
        <v>60</v>
      </c>
      <c r="D381">
        <v>4</v>
      </c>
      <c r="E381" s="2">
        <v>44488</v>
      </c>
      <c r="F381" s="3">
        <v>0.56460648148148151</v>
      </c>
      <c r="G381" s="2">
        <v>44491</v>
      </c>
      <c r="H381" s="3">
        <v>0.98653935185185182</v>
      </c>
      <c r="I381" t="s">
        <v>429</v>
      </c>
      <c r="J381" t="s">
        <v>587</v>
      </c>
      <c r="K381">
        <v>13</v>
      </c>
      <c r="L381">
        <v>23</v>
      </c>
      <c r="M381">
        <v>3</v>
      </c>
      <c r="N381">
        <v>827</v>
      </c>
    </row>
    <row r="382" spans="1:14" x14ac:dyDescent="0.3">
      <c r="A382">
        <v>381</v>
      </c>
      <c r="B382" t="s">
        <v>74</v>
      </c>
      <c r="C382">
        <v>25</v>
      </c>
      <c r="D382">
        <v>3</v>
      </c>
      <c r="E382" s="2">
        <v>44439</v>
      </c>
      <c r="F382" s="3">
        <v>0.7708680555555556</v>
      </c>
      <c r="G382" s="2">
        <v>44445</v>
      </c>
      <c r="H382" s="3">
        <v>0.26465277777777779</v>
      </c>
      <c r="I382" t="s">
        <v>437</v>
      </c>
      <c r="J382" t="s">
        <v>596</v>
      </c>
      <c r="K382">
        <v>18</v>
      </c>
      <c r="L382">
        <v>6</v>
      </c>
      <c r="M382">
        <v>6</v>
      </c>
      <c r="N382">
        <v>1202</v>
      </c>
    </row>
    <row r="383" spans="1:14" x14ac:dyDescent="0.3">
      <c r="A383">
        <v>382</v>
      </c>
      <c r="B383" t="s">
        <v>30</v>
      </c>
      <c r="C383">
        <v>24</v>
      </c>
      <c r="D383">
        <v>1</v>
      </c>
      <c r="E383" s="2">
        <v>44335</v>
      </c>
      <c r="F383" s="3">
        <v>0.41827546296296297</v>
      </c>
      <c r="G383" s="2">
        <v>44341</v>
      </c>
      <c r="H383" s="3">
        <v>0.91236111111111107</v>
      </c>
      <c r="I383" t="s">
        <v>433</v>
      </c>
      <c r="J383" t="s">
        <v>593</v>
      </c>
      <c r="K383">
        <v>10</v>
      </c>
      <c r="L383">
        <v>21</v>
      </c>
      <c r="M383">
        <v>6</v>
      </c>
      <c r="N383">
        <v>535</v>
      </c>
    </row>
    <row r="384" spans="1:14" x14ac:dyDescent="0.3">
      <c r="A384">
        <v>383</v>
      </c>
      <c r="B384" t="s">
        <v>86</v>
      </c>
      <c r="C384">
        <v>37</v>
      </c>
      <c r="D384">
        <v>1</v>
      </c>
      <c r="E384" s="2">
        <v>44451</v>
      </c>
      <c r="F384" s="3">
        <v>1.1631944444444445E-2</v>
      </c>
      <c r="G384" s="2">
        <v>44457</v>
      </c>
      <c r="H384" s="3">
        <v>0.84018518518518515</v>
      </c>
      <c r="I384" t="s">
        <v>429</v>
      </c>
      <c r="J384" t="s">
        <v>595</v>
      </c>
      <c r="K384">
        <v>0</v>
      </c>
      <c r="L384">
        <v>20</v>
      </c>
      <c r="M384">
        <v>6</v>
      </c>
      <c r="N384">
        <v>1428</v>
      </c>
    </row>
    <row r="385" spans="1:14" x14ac:dyDescent="0.3">
      <c r="A385">
        <v>384</v>
      </c>
      <c r="B385" t="s">
        <v>35</v>
      </c>
      <c r="C385">
        <v>25</v>
      </c>
      <c r="D385">
        <v>3</v>
      </c>
      <c r="E385" s="2">
        <v>44443</v>
      </c>
      <c r="F385" s="3">
        <v>0.70690972222222226</v>
      </c>
      <c r="G385" s="2">
        <v>44449</v>
      </c>
      <c r="H385" s="3">
        <v>0.58140046296296299</v>
      </c>
      <c r="I385" t="s">
        <v>437</v>
      </c>
      <c r="J385" t="s">
        <v>595</v>
      </c>
      <c r="K385">
        <v>16</v>
      </c>
      <c r="L385">
        <v>13</v>
      </c>
      <c r="M385">
        <v>6</v>
      </c>
      <c r="N385">
        <v>1202</v>
      </c>
    </row>
    <row r="386" spans="1:14" x14ac:dyDescent="0.3">
      <c r="A386">
        <v>385</v>
      </c>
      <c r="B386" t="s">
        <v>24</v>
      </c>
      <c r="C386">
        <v>50</v>
      </c>
      <c r="D386">
        <v>4</v>
      </c>
      <c r="E386" s="2">
        <v>44397</v>
      </c>
      <c r="F386" s="3">
        <v>5.2789351851851851E-2</v>
      </c>
      <c r="G386" s="2">
        <v>44403</v>
      </c>
      <c r="H386" s="3">
        <v>0.44881944444444444</v>
      </c>
      <c r="I386" t="s">
        <v>433</v>
      </c>
      <c r="J386" t="s">
        <v>590</v>
      </c>
      <c r="K386">
        <v>1</v>
      </c>
      <c r="L386">
        <v>10</v>
      </c>
      <c r="M386">
        <v>6</v>
      </c>
      <c r="N386">
        <v>422</v>
      </c>
    </row>
    <row r="387" spans="1:14" x14ac:dyDescent="0.3">
      <c r="A387">
        <v>386</v>
      </c>
      <c r="B387" t="s">
        <v>382</v>
      </c>
      <c r="C387">
        <v>5</v>
      </c>
      <c r="D387">
        <v>4</v>
      </c>
      <c r="E387" s="2">
        <v>44408</v>
      </c>
      <c r="F387" s="3">
        <v>0.53315972222222219</v>
      </c>
      <c r="G387" s="2">
        <v>44411</v>
      </c>
      <c r="H387" s="3">
        <v>0.89908564814814818</v>
      </c>
      <c r="I387" t="s">
        <v>594</v>
      </c>
      <c r="J387" t="s">
        <v>590</v>
      </c>
      <c r="K387">
        <v>12</v>
      </c>
      <c r="L387">
        <v>21</v>
      </c>
      <c r="M387">
        <v>3</v>
      </c>
      <c r="N387">
        <v>1444</v>
      </c>
    </row>
    <row r="388" spans="1:14" x14ac:dyDescent="0.3">
      <c r="A388">
        <v>387</v>
      </c>
      <c r="B388" t="s">
        <v>265</v>
      </c>
      <c r="C388">
        <v>1</v>
      </c>
      <c r="D388">
        <v>2</v>
      </c>
      <c r="E388" s="2">
        <v>44561</v>
      </c>
      <c r="F388" s="3">
        <v>0.23501157407407408</v>
      </c>
      <c r="G388" s="2">
        <v>44564</v>
      </c>
      <c r="H388" s="3">
        <v>9.4421296296296295E-2</v>
      </c>
      <c r="I388" t="s">
        <v>594</v>
      </c>
      <c r="J388" t="s">
        <v>588</v>
      </c>
      <c r="K388">
        <v>5</v>
      </c>
      <c r="L388">
        <v>2</v>
      </c>
      <c r="M388">
        <v>3</v>
      </c>
      <c r="N388">
        <v>1935</v>
      </c>
    </row>
    <row r="389" spans="1:14" x14ac:dyDescent="0.3">
      <c r="A389">
        <v>388</v>
      </c>
      <c r="B389" t="s">
        <v>284</v>
      </c>
      <c r="C389">
        <v>36</v>
      </c>
      <c r="D389">
        <v>2</v>
      </c>
      <c r="E389" s="2">
        <v>44255</v>
      </c>
      <c r="F389" s="3">
        <v>1.0532407407407407E-2</v>
      </c>
      <c r="G389" s="2">
        <v>44257</v>
      </c>
      <c r="H389" s="3">
        <v>0.44243055555555555</v>
      </c>
      <c r="I389" t="s">
        <v>433</v>
      </c>
      <c r="J389" t="s">
        <v>599</v>
      </c>
      <c r="K389">
        <v>0</v>
      </c>
      <c r="L389">
        <v>10</v>
      </c>
      <c r="M389">
        <v>2</v>
      </c>
      <c r="N389">
        <v>203</v>
      </c>
    </row>
    <row r="390" spans="1:14" x14ac:dyDescent="0.3">
      <c r="A390">
        <v>389</v>
      </c>
      <c r="B390" t="s">
        <v>265</v>
      </c>
      <c r="C390">
        <v>29</v>
      </c>
      <c r="D390">
        <v>2</v>
      </c>
      <c r="E390" s="2">
        <v>44388</v>
      </c>
      <c r="F390" s="3">
        <v>0.14326388888888889</v>
      </c>
      <c r="G390" s="2">
        <v>44394</v>
      </c>
      <c r="H390" s="3">
        <v>0.75949074074074074</v>
      </c>
      <c r="I390" t="s">
        <v>433</v>
      </c>
      <c r="J390" t="s">
        <v>590</v>
      </c>
      <c r="K390">
        <v>3</v>
      </c>
      <c r="L390">
        <v>18</v>
      </c>
      <c r="M390">
        <v>6</v>
      </c>
      <c r="N390">
        <v>1252</v>
      </c>
    </row>
    <row r="391" spans="1:14" x14ac:dyDescent="0.3">
      <c r="A391">
        <v>390</v>
      </c>
      <c r="B391" t="s">
        <v>195</v>
      </c>
      <c r="C391">
        <v>26</v>
      </c>
      <c r="D391">
        <v>4</v>
      </c>
      <c r="E391" s="2">
        <v>44554</v>
      </c>
      <c r="F391" s="3">
        <v>0.65342592592592597</v>
      </c>
      <c r="G391" s="2">
        <v>44556</v>
      </c>
      <c r="H391" s="3">
        <v>0.95980324074074075</v>
      </c>
      <c r="I391" t="s">
        <v>433</v>
      </c>
      <c r="J391" t="s">
        <v>588</v>
      </c>
      <c r="K391">
        <v>15</v>
      </c>
      <c r="L391">
        <v>23</v>
      </c>
      <c r="M391">
        <v>2</v>
      </c>
      <c r="N391">
        <v>289</v>
      </c>
    </row>
    <row r="392" spans="1:14" x14ac:dyDescent="0.3">
      <c r="A392">
        <v>391</v>
      </c>
      <c r="B392" t="s">
        <v>351</v>
      </c>
      <c r="C392">
        <v>22</v>
      </c>
      <c r="D392">
        <v>4</v>
      </c>
      <c r="E392" s="2">
        <v>44498</v>
      </c>
      <c r="F392" s="3">
        <v>0.57229166666666664</v>
      </c>
      <c r="G392" s="2">
        <v>44503</v>
      </c>
      <c r="H392" s="3">
        <v>0.54075231481481478</v>
      </c>
      <c r="I392" t="s">
        <v>594</v>
      </c>
      <c r="J392" t="s">
        <v>587</v>
      </c>
      <c r="K392">
        <v>13</v>
      </c>
      <c r="L392">
        <v>12</v>
      </c>
      <c r="M392">
        <v>5</v>
      </c>
      <c r="N392">
        <v>1639</v>
      </c>
    </row>
    <row r="393" spans="1:14" x14ac:dyDescent="0.3">
      <c r="A393">
        <v>392</v>
      </c>
      <c r="B393" t="s">
        <v>359</v>
      </c>
      <c r="C393">
        <v>4</v>
      </c>
      <c r="D393">
        <v>2</v>
      </c>
      <c r="E393" s="2">
        <v>44429</v>
      </c>
      <c r="F393" s="3">
        <v>0.13813657407407406</v>
      </c>
      <c r="G393" s="2">
        <v>44432</v>
      </c>
      <c r="H393" s="3">
        <v>0.78690972222222222</v>
      </c>
      <c r="I393" t="s">
        <v>429</v>
      </c>
      <c r="J393" t="s">
        <v>596</v>
      </c>
      <c r="K393">
        <v>3</v>
      </c>
      <c r="L393">
        <v>18</v>
      </c>
      <c r="M393">
        <v>3</v>
      </c>
      <c r="N393">
        <v>1199</v>
      </c>
    </row>
    <row r="394" spans="1:14" x14ac:dyDescent="0.3">
      <c r="A394">
        <v>393</v>
      </c>
      <c r="B394" t="s">
        <v>367</v>
      </c>
      <c r="C394">
        <v>17</v>
      </c>
      <c r="D394">
        <v>5</v>
      </c>
      <c r="E394" s="2">
        <v>44273</v>
      </c>
      <c r="F394" s="3">
        <v>0.45923611111111112</v>
      </c>
      <c r="G394" s="2">
        <v>44277</v>
      </c>
      <c r="H394" s="3">
        <v>0.6741435185185185</v>
      </c>
      <c r="I394" t="s">
        <v>437</v>
      </c>
      <c r="J394" t="s">
        <v>589</v>
      </c>
      <c r="K394">
        <v>11</v>
      </c>
      <c r="L394">
        <v>16</v>
      </c>
      <c r="M394">
        <v>4</v>
      </c>
      <c r="N394">
        <v>1899</v>
      </c>
    </row>
    <row r="395" spans="1:14" x14ac:dyDescent="0.3">
      <c r="A395">
        <v>394</v>
      </c>
      <c r="B395" t="s">
        <v>135</v>
      </c>
      <c r="C395">
        <v>38</v>
      </c>
      <c r="D395">
        <v>5</v>
      </c>
      <c r="E395" s="2">
        <v>44242</v>
      </c>
      <c r="F395" s="3">
        <v>0.18515046296296298</v>
      </c>
      <c r="G395" s="2">
        <v>44248</v>
      </c>
      <c r="H395" s="3">
        <v>0.80969907407407404</v>
      </c>
      <c r="I395" t="s">
        <v>433</v>
      </c>
      <c r="J395" t="s">
        <v>599</v>
      </c>
      <c r="K395">
        <v>4</v>
      </c>
      <c r="L395">
        <v>19</v>
      </c>
      <c r="M395">
        <v>6</v>
      </c>
      <c r="N395">
        <v>562</v>
      </c>
    </row>
    <row r="396" spans="1:14" x14ac:dyDescent="0.3">
      <c r="A396">
        <v>395</v>
      </c>
      <c r="B396" t="s">
        <v>288</v>
      </c>
      <c r="C396">
        <v>26</v>
      </c>
      <c r="D396">
        <v>2</v>
      </c>
      <c r="E396" s="2">
        <v>44243</v>
      </c>
      <c r="F396" s="3">
        <v>0.96868055555555554</v>
      </c>
      <c r="G396" s="2">
        <v>44245</v>
      </c>
      <c r="H396" s="3">
        <v>0.77265046296296291</v>
      </c>
      <c r="I396" t="s">
        <v>433</v>
      </c>
      <c r="J396" t="s">
        <v>599</v>
      </c>
      <c r="K396">
        <v>23</v>
      </c>
      <c r="L396">
        <v>18</v>
      </c>
      <c r="M396">
        <v>2</v>
      </c>
      <c r="N396">
        <v>289</v>
      </c>
    </row>
    <row r="397" spans="1:14" x14ac:dyDescent="0.3">
      <c r="A397">
        <v>396</v>
      </c>
      <c r="B397" t="s">
        <v>292</v>
      </c>
      <c r="C397">
        <v>10</v>
      </c>
      <c r="D397">
        <v>5</v>
      </c>
      <c r="E397" s="2">
        <v>44569</v>
      </c>
      <c r="F397" s="3">
        <v>0.64650462962962962</v>
      </c>
      <c r="G397" s="2">
        <v>44572</v>
      </c>
      <c r="H397" s="3">
        <v>7.2928240740740738E-2</v>
      </c>
      <c r="I397" t="s">
        <v>433</v>
      </c>
      <c r="J397" t="s">
        <v>598</v>
      </c>
      <c r="K397">
        <v>15</v>
      </c>
      <c r="L397">
        <v>1</v>
      </c>
      <c r="M397">
        <v>3</v>
      </c>
      <c r="N397">
        <v>259</v>
      </c>
    </row>
    <row r="398" spans="1:14" x14ac:dyDescent="0.3">
      <c r="A398">
        <v>397</v>
      </c>
      <c r="B398" t="s">
        <v>159</v>
      </c>
      <c r="C398">
        <v>4</v>
      </c>
      <c r="D398">
        <v>5</v>
      </c>
      <c r="E398" s="2">
        <v>44518</v>
      </c>
      <c r="F398" s="3">
        <v>0.28343750000000001</v>
      </c>
      <c r="G398" s="2">
        <v>44521</v>
      </c>
      <c r="H398" s="3">
        <v>0.56428240740740743</v>
      </c>
      <c r="I398" t="s">
        <v>429</v>
      </c>
      <c r="J398" t="s">
        <v>597</v>
      </c>
      <c r="K398">
        <v>6</v>
      </c>
      <c r="L398">
        <v>13</v>
      </c>
      <c r="M398">
        <v>3</v>
      </c>
      <c r="N398">
        <v>1199</v>
      </c>
    </row>
    <row r="399" spans="1:14" x14ac:dyDescent="0.3">
      <c r="A399">
        <v>398</v>
      </c>
      <c r="B399" t="s">
        <v>339</v>
      </c>
      <c r="C399">
        <v>54</v>
      </c>
      <c r="D399">
        <v>1</v>
      </c>
      <c r="E399" s="2">
        <v>44361</v>
      </c>
      <c r="F399" s="3">
        <v>0.36482638888888891</v>
      </c>
      <c r="G399" s="2">
        <v>44367</v>
      </c>
      <c r="H399" s="3">
        <v>0.4178587962962963</v>
      </c>
      <c r="I399" t="s">
        <v>437</v>
      </c>
      <c r="J399" t="s">
        <v>586</v>
      </c>
      <c r="K399">
        <v>8</v>
      </c>
      <c r="L399">
        <v>10</v>
      </c>
      <c r="M399">
        <v>6</v>
      </c>
      <c r="N399">
        <v>1236</v>
      </c>
    </row>
    <row r="400" spans="1:14" x14ac:dyDescent="0.3">
      <c r="A400">
        <v>399</v>
      </c>
      <c r="B400" t="s">
        <v>53</v>
      </c>
      <c r="C400">
        <v>68</v>
      </c>
      <c r="D400">
        <v>1</v>
      </c>
      <c r="E400" s="2">
        <v>44233</v>
      </c>
      <c r="F400" s="3">
        <v>0.26512731481481483</v>
      </c>
      <c r="G400" s="2">
        <v>44239</v>
      </c>
      <c r="H400" s="3">
        <v>0.29738425925925926</v>
      </c>
      <c r="I400" t="s">
        <v>591</v>
      </c>
      <c r="J400" t="s">
        <v>599</v>
      </c>
      <c r="K400">
        <v>6</v>
      </c>
      <c r="L400">
        <v>7</v>
      </c>
      <c r="M400">
        <v>6</v>
      </c>
      <c r="N400">
        <v>597</v>
      </c>
    </row>
    <row r="401" spans="1:14" x14ac:dyDescent="0.3">
      <c r="A401">
        <v>400</v>
      </c>
      <c r="B401" t="s">
        <v>351</v>
      </c>
      <c r="C401">
        <v>45</v>
      </c>
      <c r="D401">
        <v>3</v>
      </c>
      <c r="E401" s="2">
        <v>44448</v>
      </c>
      <c r="F401" s="3">
        <v>0.58681712962962962</v>
      </c>
      <c r="G401" s="2">
        <v>44450</v>
      </c>
      <c r="H401" s="3">
        <v>0.75755787037037037</v>
      </c>
      <c r="I401" t="s">
        <v>433</v>
      </c>
      <c r="J401" t="s">
        <v>595</v>
      </c>
      <c r="K401">
        <v>14</v>
      </c>
      <c r="L401">
        <v>18</v>
      </c>
      <c r="M401">
        <v>2</v>
      </c>
      <c r="N401">
        <v>722</v>
      </c>
    </row>
    <row r="402" spans="1:14" x14ac:dyDescent="0.3">
      <c r="A402">
        <v>401</v>
      </c>
      <c r="B402" t="s">
        <v>375</v>
      </c>
      <c r="C402">
        <v>9</v>
      </c>
      <c r="D402">
        <v>5</v>
      </c>
      <c r="E402" s="2">
        <v>44464</v>
      </c>
      <c r="F402" s="3">
        <v>0.82885416666666667</v>
      </c>
      <c r="G402" s="2">
        <v>44466</v>
      </c>
      <c r="H402" s="3">
        <v>0.30494212962962963</v>
      </c>
      <c r="I402" t="s">
        <v>429</v>
      </c>
      <c r="J402" t="s">
        <v>595</v>
      </c>
      <c r="K402">
        <v>19</v>
      </c>
      <c r="L402">
        <v>7</v>
      </c>
      <c r="M402">
        <v>2</v>
      </c>
      <c r="N402">
        <v>1605</v>
      </c>
    </row>
    <row r="403" spans="1:14" x14ac:dyDescent="0.3">
      <c r="A403">
        <v>402</v>
      </c>
      <c r="B403" t="s">
        <v>171</v>
      </c>
      <c r="C403">
        <v>29</v>
      </c>
      <c r="D403">
        <v>1</v>
      </c>
      <c r="E403" s="2">
        <v>44266</v>
      </c>
      <c r="F403" s="3">
        <v>0.69616898148148143</v>
      </c>
      <c r="G403" s="2">
        <v>44271</v>
      </c>
      <c r="H403" s="3">
        <v>0.5644675925925926</v>
      </c>
      <c r="I403" t="s">
        <v>433</v>
      </c>
      <c r="J403" t="s">
        <v>589</v>
      </c>
      <c r="K403">
        <v>16</v>
      </c>
      <c r="L403">
        <v>13</v>
      </c>
      <c r="M403">
        <v>5</v>
      </c>
      <c r="N403">
        <v>1252</v>
      </c>
    </row>
    <row r="404" spans="1:14" x14ac:dyDescent="0.3">
      <c r="A404">
        <v>403</v>
      </c>
      <c r="B404" t="s">
        <v>320</v>
      </c>
      <c r="C404">
        <v>57</v>
      </c>
      <c r="D404">
        <v>1</v>
      </c>
      <c r="E404" s="2">
        <v>44324</v>
      </c>
      <c r="F404" s="3">
        <v>0.4899074074074074</v>
      </c>
      <c r="G404" s="2">
        <v>44327</v>
      </c>
      <c r="H404" s="3">
        <v>0.84266203703703701</v>
      </c>
      <c r="I404" t="s">
        <v>433</v>
      </c>
      <c r="J404" t="s">
        <v>593</v>
      </c>
      <c r="K404">
        <v>11</v>
      </c>
      <c r="L404">
        <v>20</v>
      </c>
      <c r="M404">
        <v>3</v>
      </c>
      <c r="N404">
        <v>1582</v>
      </c>
    </row>
    <row r="405" spans="1:14" x14ac:dyDescent="0.3">
      <c r="A405">
        <v>404</v>
      </c>
      <c r="B405" t="s">
        <v>242</v>
      </c>
      <c r="C405">
        <v>21</v>
      </c>
      <c r="D405">
        <v>5</v>
      </c>
      <c r="E405" s="2">
        <v>44363</v>
      </c>
      <c r="F405" s="3">
        <v>0.3300925925925926</v>
      </c>
      <c r="G405" s="2">
        <v>44367</v>
      </c>
      <c r="H405" s="3">
        <v>0.93563657407407408</v>
      </c>
      <c r="I405" t="s">
        <v>429</v>
      </c>
      <c r="J405" t="s">
        <v>586</v>
      </c>
      <c r="K405">
        <v>7</v>
      </c>
      <c r="L405">
        <v>22</v>
      </c>
      <c r="M405">
        <v>4</v>
      </c>
      <c r="N405">
        <v>1561</v>
      </c>
    </row>
    <row r="406" spans="1:14" x14ac:dyDescent="0.3">
      <c r="A406">
        <v>405</v>
      </c>
      <c r="B406" t="s">
        <v>155</v>
      </c>
      <c r="C406">
        <v>49</v>
      </c>
      <c r="D406">
        <v>1</v>
      </c>
      <c r="E406" s="2">
        <v>44236</v>
      </c>
      <c r="F406" s="3">
        <v>0.96196759259259257</v>
      </c>
      <c r="G406" s="2">
        <v>44238</v>
      </c>
      <c r="H406" s="3">
        <v>0.61641203703703706</v>
      </c>
      <c r="I406" t="s">
        <v>591</v>
      </c>
      <c r="J406" t="s">
        <v>599</v>
      </c>
      <c r="K406">
        <v>23</v>
      </c>
      <c r="L406">
        <v>14</v>
      </c>
      <c r="M406">
        <v>2</v>
      </c>
      <c r="N406">
        <v>903</v>
      </c>
    </row>
    <row r="407" spans="1:14" x14ac:dyDescent="0.3">
      <c r="A407">
        <v>406</v>
      </c>
      <c r="B407" t="s">
        <v>218</v>
      </c>
      <c r="C407">
        <v>55</v>
      </c>
      <c r="D407">
        <v>4</v>
      </c>
      <c r="E407" s="2">
        <v>44226</v>
      </c>
      <c r="F407" s="3">
        <v>0.66616898148148151</v>
      </c>
      <c r="G407" s="2">
        <v>44229</v>
      </c>
      <c r="H407" s="3">
        <v>0.26658564814814817</v>
      </c>
      <c r="I407" t="s">
        <v>429</v>
      </c>
      <c r="J407" t="s">
        <v>598</v>
      </c>
      <c r="K407">
        <v>15</v>
      </c>
      <c r="L407">
        <v>6</v>
      </c>
      <c r="M407">
        <v>3</v>
      </c>
      <c r="N407">
        <v>1904</v>
      </c>
    </row>
    <row r="408" spans="1:14" x14ac:dyDescent="0.3">
      <c r="A408">
        <v>407</v>
      </c>
      <c r="B408" t="s">
        <v>316</v>
      </c>
      <c r="C408">
        <v>69</v>
      </c>
      <c r="D408">
        <v>3</v>
      </c>
      <c r="E408" s="2">
        <v>44399</v>
      </c>
      <c r="F408" s="3">
        <v>0.36957175925925928</v>
      </c>
      <c r="G408" s="2">
        <v>44404</v>
      </c>
      <c r="H408" s="3">
        <v>0.17342592592592593</v>
      </c>
      <c r="I408" t="s">
        <v>433</v>
      </c>
      <c r="J408" t="s">
        <v>590</v>
      </c>
      <c r="K408">
        <v>8</v>
      </c>
      <c r="L408">
        <v>4</v>
      </c>
      <c r="M408">
        <v>5</v>
      </c>
      <c r="N408">
        <v>998</v>
      </c>
    </row>
    <row r="409" spans="1:14" x14ac:dyDescent="0.3">
      <c r="A409">
        <v>408</v>
      </c>
      <c r="B409" t="s">
        <v>273</v>
      </c>
      <c r="C409">
        <v>31</v>
      </c>
      <c r="D409">
        <v>2</v>
      </c>
      <c r="E409" s="2">
        <v>44348</v>
      </c>
      <c r="F409" s="3">
        <v>0.51349537037037041</v>
      </c>
      <c r="G409" s="2">
        <v>44353</v>
      </c>
      <c r="H409" s="3">
        <v>0.1955787037037037</v>
      </c>
      <c r="I409" t="s">
        <v>594</v>
      </c>
      <c r="J409" t="s">
        <v>586</v>
      </c>
      <c r="K409">
        <v>12</v>
      </c>
      <c r="L409">
        <v>4</v>
      </c>
      <c r="M409">
        <v>5</v>
      </c>
      <c r="N409">
        <v>1804</v>
      </c>
    </row>
    <row r="410" spans="1:14" x14ac:dyDescent="0.3">
      <c r="A410">
        <v>409</v>
      </c>
      <c r="B410" t="s">
        <v>218</v>
      </c>
      <c r="C410">
        <v>50</v>
      </c>
      <c r="D410">
        <v>4</v>
      </c>
      <c r="E410" s="2">
        <v>44349</v>
      </c>
      <c r="F410" s="3">
        <v>0.73887731481481478</v>
      </c>
      <c r="G410" s="2">
        <v>44352</v>
      </c>
      <c r="H410" s="3">
        <v>0.8228819444444444</v>
      </c>
      <c r="I410" t="s">
        <v>433</v>
      </c>
      <c r="J410" t="s">
        <v>586</v>
      </c>
      <c r="K410">
        <v>17</v>
      </c>
      <c r="L410">
        <v>19</v>
      </c>
      <c r="M410">
        <v>3</v>
      </c>
      <c r="N410">
        <v>422</v>
      </c>
    </row>
    <row r="411" spans="1:14" x14ac:dyDescent="0.3">
      <c r="A411">
        <v>410</v>
      </c>
      <c r="B411" t="s">
        <v>123</v>
      </c>
      <c r="C411">
        <v>24</v>
      </c>
      <c r="D411">
        <v>1</v>
      </c>
      <c r="E411" s="2">
        <v>44436</v>
      </c>
      <c r="F411" s="3">
        <v>0.84778935185185189</v>
      </c>
      <c r="G411" s="2">
        <v>44442</v>
      </c>
      <c r="H411" s="3">
        <v>0.2479861111111111</v>
      </c>
      <c r="I411" t="s">
        <v>433</v>
      </c>
      <c r="J411" t="s">
        <v>596</v>
      </c>
      <c r="K411">
        <v>20</v>
      </c>
      <c r="L411">
        <v>5</v>
      </c>
      <c r="M411">
        <v>6</v>
      </c>
      <c r="N411">
        <v>535</v>
      </c>
    </row>
    <row r="412" spans="1:14" x14ac:dyDescent="0.3">
      <c r="A412">
        <v>411</v>
      </c>
      <c r="B412" t="s">
        <v>44</v>
      </c>
      <c r="C412">
        <v>48</v>
      </c>
      <c r="D412">
        <v>1</v>
      </c>
      <c r="E412" s="2">
        <v>44472</v>
      </c>
      <c r="F412" s="3">
        <v>0.68858796296296299</v>
      </c>
      <c r="G412" s="2">
        <v>44474</v>
      </c>
      <c r="H412" s="3">
        <v>0.30655092592592592</v>
      </c>
      <c r="I412" t="s">
        <v>429</v>
      </c>
      <c r="J412" t="s">
        <v>587</v>
      </c>
      <c r="K412">
        <v>16</v>
      </c>
      <c r="L412">
        <v>7</v>
      </c>
      <c r="M412">
        <v>2</v>
      </c>
      <c r="N412">
        <v>433</v>
      </c>
    </row>
    <row r="413" spans="1:14" x14ac:dyDescent="0.3">
      <c r="A413">
        <v>412</v>
      </c>
      <c r="B413" t="s">
        <v>343</v>
      </c>
      <c r="C413">
        <v>67</v>
      </c>
      <c r="D413">
        <v>2</v>
      </c>
      <c r="E413" s="2">
        <v>44459</v>
      </c>
      <c r="F413" s="3">
        <v>0.3947222222222222</v>
      </c>
      <c r="G413" s="2">
        <v>44465</v>
      </c>
      <c r="H413" s="3">
        <v>0.96836805555555561</v>
      </c>
      <c r="I413" t="s">
        <v>437</v>
      </c>
      <c r="J413" t="s">
        <v>595</v>
      </c>
      <c r="K413">
        <v>9</v>
      </c>
      <c r="L413">
        <v>23</v>
      </c>
      <c r="M413">
        <v>6</v>
      </c>
      <c r="N413">
        <v>1374</v>
      </c>
    </row>
    <row r="414" spans="1:14" x14ac:dyDescent="0.3">
      <c r="A414">
        <v>413</v>
      </c>
      <c r="B414" t="s">
        <v>222</v>
      </c>
      <c r="C414">
        <v>59</v>
      </c>
      <c r="D414">
        <v>5</v>
      </c>
      <c r="E414" s="2">
        <v>44460</v>
      </c>
      <c r="F414" s="3">
        <v>0.23075231481481481</v>
      </c>
      <c r="G414" s="2">
        <v>44462</v>
      </c>
      <c r="H414" s="3">
        <v>0.84804398148148152</v>
      </c>
      <c r="I414" t="s">
        <v>429</v>
      </c>
      <c r="J414" t="s">
        <v>595</v>
      </c>
      <c r="K414">
        <v>5</v>
      </c>
      <c r="L414">
        <v>20</v>
      </c>
      <c r="M414">
        <v>2</v>
      </c>
      <c r="N414">
        <v>811</v>
      </c>
    </row>
    <row r="415" spans="1:14" x14ac:dyDescent="0.3">
      <c r="A415">
        <v>414</v>
      </c>
      <c r="B415" t="s">
        <v>159</v>
      </c>
      <c r="C415">
        <v>7</v>
      </c>
      <c r="D415">
        <v>4</v>
      </c>
      <c r="E415" s="2">
        <v>44455</v>
      </c>
      <c r="F415" s="3">
        <v>0.88762731481481483</v>
      </c>
      <c r="G415" s="2">
        <v>44457</v>
      </c>
      <c r="H415" s="3">
        <v>4.6886574074074074E-2</v>
      </c>
      <c r="I415" t="s">
        <v>433</v>
      </c>
      <c r="J415" t="s">
        <v>595</v>
      </c>
      <c r="K415">
        <v>21</v>
      </c>
      <c r="L415">
        <v>1</v>
      </c>
      <c r="M415">
        <v>2</v>
      </c>
      <c r="N415">
        <v>409</v>
      </c>
    </row>
    <row r="416" spans="1:14" x14ac:dyDescent="0.3">
      <c r="A416">
        <v>415</v>
      </c>
      <c r="B416" t="s">
        <v>280</v>
      </c>
      <c r="C416">
        <v>14</v>
      </c>
      <c r="D416">
        <v>4</v>
      </c>
      <c r="E416" s="2">
        <v>44466</v>
      </c>
      <c r="F416" s="3">
        <v>0.83923611111111107</v>
      </c>
      <c r="G416" s="2">
        <v>44469</v>
      </c>
      <c r="H416" s="3">
        <v>5.6203703703703707E-2</v>
      </c>
      <c r="I416" t="s">
        <v>433</v>
      </c>
      <c r="J416" t="s">
        <v>595</v>
      </c>
      <c r="K416">
        <v>20</v>
      </c>
      <c r="L416">
        <v>1</v>
      </c>
      <c r="M416">
        <v>3</v>
      </c>
      <c r="N416">
        <v>1915</v>
      </c>
    </row>
    <row r="417" spans="1:14" x14ac:dyDescent="0.3">
      <c r="A417">
        <v>416</v>
      </c>
      <c r="B417" t="s">
        <v>44</v>
      </c>
      <c r="C417">
        <v>58</v>
      </c>
      <c r="D417">
        <v>5</v>
      </c>
      <c r="E417" s="2">
        <v>44413</v>
      </c>
      <c r="F417" s="3">
        <v>0.69516203703703705</v>
      </c>
      <c r="G417" s="2">
        <v>44418</v>
      </c>
      <c r="H417" s="3">
        <v>0.4007060185185185</v>
      </c>
      <c r="I417" t="s">
        <v>591</v>
      </c>
      <c r="J417" t="s">
        <v>596</v>
      </c>
      <c r="K417">
        <v>16</v>
      </c>
      <c r="L417">
        <v>9</v>
      </c>
      <c r="M417">
        <v>5</v>
      </c>
      <c r="N417">
        <v>1492</v>
      </c>
    </row>
    <row r="418" spans="1:14" x14ac:dyDescent="0.3">
      <c r="A418">
        <v>417</v>
      </c>
      <c r="B418" t="s">
        <v>35</v>
      </c>
      <c r="C418">
        <v>62</v>
      </c>
      <c r="D418">
        <v>4</v>
      </c>
      <c r="E418" s="2">
        <v>44262</v>
      </c>
      <c r="F418" s="3">
        <v>0.94490740740740742</v>
      </c>
      <c r="G418" s="2">
        <v>44267</v>
      </c>
      <c r="H418" s="3">
        <v>0.24760416666666665</v>
      </c>
      <c r="I418" t="s">
        <v>433</v>
      </c>
      <c r="J418" t="s">
        <v>589</v>
      </c>
      <c r="K418">
        <v>22</v>
      </c>
      <c r="L418">
        <v>5</v>
      </c>
      <c r="M418">
        <v>5</v>
      </c>
      <c r="N418">
        <v>1356</v>
      </c>
    </row>
    <row r="419" spans="1:14" x14ac:dyDescent="0.3">
      <c r="A419">
        <v>418</v>
      </c>
      <c r="B419" t="s">
        <v>296</v>
      </c>
      <c r="C419">
        <v>64</v>
      </c>
      <c r="D419">
        <v>3</v>
      </c>
      <c r="E419" s="2">
        <v>44561</v>
      </c>
      <c r="F419" s="3">
        <v>0.55372685185185189</v>
      </c>
      <c r="G419" s="2">
        <v>44565</v>
      </c>
      <c r="H419" s="3">
        <v>0.4841435185185185</v>
      </c>
      <c r="I419" t="s">
        <v>429</v>
      </c>
      <c r="J419" t="s">
        <v>588</v>
      </c>
      <c r="K419">
        <v>13</v>
      </c>
      <c r="L419">
        <v>11</v>
      </c>
      <c r="M419">
        <v>4</v>
      </c>
      <c r="N419">
        <v>1878</v>
      </c>
    </row>
    <row r="420" spans="1:14" x14ac:dyDescent="0.3">
      <c r="A420">
        <v>419</v>
      </c>
      <c r="B420" t="s">
        <v>280</v>
      </c>
      <c r="C420">
        <v>47</v>
      </c>
      <c r="D420">
        <v>3</v>
      </c>
      <c r="E420" s="2">
        <v>44557</v>
      </c>
      <c r="F420" s="3">
        <v>0.72142361111111108</v>
      </c>
      <c r="G420" s="2">
        <v>44562</v>
      </c>
      <c r="H420" s="3">
        <v>0.5788888888888889</v>
      </c>
      <c r="I420" t="s">
        <v>433</v>
      </c>
      <c r="J420" t="s">
        <v>588</v>
      </c>
      <c r="K420">
        <v>17</v>
      </c>
      <c r="L420">
        <v>13</v>
      </c>
      <c r="M420">
        <v>5</v>
      </c>
      <c r="N420">
        <v>1638</v>
      </c>
    </row>
    <row r="421" spans="1:14" x14ac:dyDescent="0.3">
      <c r="A421">
        <v>420</v>
      </c>
      <c r="B421" t="s">
        <v>179</v>
      </c>
      <c r="C421">
        <v>6</v>
      </c>
      <c r="D421">
        <v>3</v>
      </c>
      <c r="E421" s="2">
        <v>44529</v>
      </c>
      <c r="F421" s="3">
        <v>0.35856481481481484</v>
      </c>
      <c r="G421" s="2">
        <v>44534</v>
      </c>
      <c r="H421" s="3">
        <v>5.1967592592592595E-3</v>
      </c>
      <c r="I421" t="s">
        <v>433</v>
      </c>
      <c r="J421" t="s">
        <v>597</v>
      </c>
      <c r="K421">
        <v>8</v>
      </c>
      <c r="L421">
        <v>0</v>
      </c>
      <c r="M421">
        <v>5</v>
      </c>
      <c r="N421">
        <v>1112</v>
      </c>
    </row>
    <row r="422" spans="1:14" x14ac:dyDescent="0.3">
      <c r="A422">
        <v>421</v>
      </c>
      <c r="B422" t="s">
        <v>284</v>
      </c>
      <c r="C422">
        <v>38</v>
      </c>
      <c r="D422">
        <v>4</v>
      </c>
      <c r="E422" s="2">
        <v>44312</v>
      </c>
      <c r="F422" s="3">
        <v>0.84479166666666672</v>
      </c>
      <c r="G422" s="2">
        <v>44314</v>
      </c>
      <c r="H422" s="3">
        <v>0.7944444444444444</v>
      </c>
      <c r="I422" t="s">
        <v>433</v>
      </c>
      <c r="J422" t="s">
        <v>592</v>
      </c>
      <c r="K422">
        <v>20</v>
      </c>
      <c r="L422">
        <v>19</v>
      </c>
      <c r="M422">
        <v>2</v>
      </c>
      <c r="N422">
        <v>562</v>
      </c>
    </row>
    <row r="423" spans="1:14" x14ac:dyDescent="0.3">
      <c r="A423">
        <v>422</v>
      </c>
      <c r="B423" t="s">
        <v>199</v>
      </c>
      <c r="C423">
        <v>53</v>
      </c>
      <c r="D423">
        <v>2</v>
      </c>
      <c r="E423" s="2">
        <v>44316</v>
      </c>
      <c r="F423" s="3">
        <v>0.12775462962962963</v>
      </c>
      <c r="G423" s="2">
        <v>44319</v>
      </c>
      <c r="H423" s="3">
        <v>0.17059027777777777</v>
      </c>
      <c r="I423" t="s">
        <v>429</v>
      </c>
      <c r="J423" t="s">
        <v>592</v>
      </c>
      <c r="K423">
        <v>3</v>
      </c>
      <c r="L423">
        <v>4</v>
      </c>
      <c r="M423">
        <v>3</v>
      </c>
      <c r="N423">
        <v>1672</v>
      </c>
    </row>
    <row r="424" spans="1:14" x14ac:dyDescent="0.3">
      <c r="A424">
        <v>423</v>
      </c>
      <c r="B424" t="s">
        <v>288</v>
      </c>
      <c r="C424">
        <v>19</v>
      </c>
      <c r="D424">
        <v>1</v>
      </c>
      <c r="E424" s="2">
        <v>44407</v>
      </c>
      <c r="F424" s="3">
        <v>0.69928240740740744</v>
      </c>
      <c r="G424" s="2">
        <v>44409</v>
      </c>
      <c r="H424" s="3">
        <v>7.0023148148148145E-3</v>
      </c>
      <c r="I424" t="s">
        <v>591</v>
      </c>
      <c r="J424" t="s">
        <v>590</v>
      </c>
      <c r="K424">
        <v>16</v>
      </c>
      <c r="L424">
        <v>0</v>
      </c>
      <c r="M424">
        <v>2</v>
      </c>
      <c r="N424">
        <v>1234</v>
      </c>
    </row>
    <row r="425" spans="1:14" x14ac:dyDescent="0.3">
      <c r="A425">
        <v>424</v>
      </c>
      <c r="B425" t="s">
        <v>308</v>
      </c>
      <c r="C425">
        <v>7</v>
      </c>
      <c r="D425">
        <v>4</v>
      </c>
      <c r="E425" s="2">
        <v>44308</v>
      </c>
      <c r="F425" s="3">
        <v>0.12842592592592592</v>
      </c>
      <c r="G425" s="2">
        <v>44312</v>
      </c>
      <c r="H425" s="3">
        <v>0.4354513888888889</v>
      </c>
      <c r="I425" t="s">
        <v>433</v>
      </c>
      <c r="J425" t="s">
        <v>592</v>
      </c>
      <c r="K425">
        <v>3</v>
      </c>
      <c r="L425">
        <v>10</v>
      </c>
      <c r="M425">
        <v>4</v>
      </c>
      <c r="N425">
        <v>409</v>
      </c>
    </row>
    <row r="426" spans="1:14" x14ac:dyDescent="0.3">
      <c r="A426">
        <v>425</v>
      </c>
      <c r="B426" t="s">
        <v>304</v>
      </c>
      <c r="C426">
        <v>56</v>
      </c>
      <c r="D426">
        <v>1</v>
      </c>
      <c r="E426" s="2">
        <v>44220</v>
      </c>
      <c r="F426" s="3">
        <v>1.4583333333333334E-3</v>
      </c>
      <c r="G426" s="2">
        <v>44222</v>
      </c>
      <c r="H426" s="3">
        <v>0.95796296296296302</v>
      </c>
      <c r="I426" t="s">
        <v>437</v>
      </c>
      <c r="J426" t="s">
        <v>598</v>
      </c>
      <c r="K426">
        <v>0</v>
      </c>
      <c r="L426">
        <v>22</v>
      </c>
      <c r="M426">
        <v>2</v>
      </c>
      <c r="N426">
        <v>1272</v>
      </c>
    </row>
    <row r="427" spans="1:14" x14ac:dyDescent="0.3">
      <c r="A427">
        <v>426</v>
      </c>
      <c r="B427" t="s">
        <v>312</v>
      </c>
      <c r="C427">
        <v>2</v>
      </c>
      <c r="D427">
        <v>2</v>
      </c>
      <c r="E427" s="2">
        <v>44222</v>
      </c>
      <c r="F427" s="3">
        <v>0.95826388888888892</v>
      </c>
      <c r="G427" s="2">
        <v>44225</v>
      </c>
      <c r="H427" s="3">
        <v>0.57708333333333328</v>
      </c>
      <c r="I427" t="s">
        <v>591</v>
      </c>
      <c r="J427" t="s">
        <v>598</v>
      </c>
      <c r="K427">
        <v>22</v>
      </c>
      <c r="L427">
        <v>13</v>
      </c>
      <c r="M427">
        <v>3</v>
      </c>
      <c r="N427">
        <v>441</v>
      </c>
    </row>
    <row r="428" spans="1:14" x14ac:dyDescent="0.3">
      <c r="A428">
        <v>427</v>
      </c>
      <c r="B428" t="s">
        <v>191</v>
      </c>
      <c r="C428">
        <v>48</v>
      </c>
      <c r="D428">
        <v>5</v>
      </c>
      <c r="E428" s="2">
        <v>44560</v>
      </c>
      <c r="F428" s="3">
        <v>0.3309259259259259</v>
      </c>
      <c r="G428" s="2">
        <v>44562</v>
      </c>
      <c r="H428" s="3">
        <v>0.94874999999999998</v>
      </c>
      <c r="I428" t="s">
        <v>429</v>
      </c>
      <c r="J428" t="s">
        <v>588</v>
      </c>
      <c r="K428">
        <v>7</v>
      </c>
      <c r="L428">
        <v>22</v>
      </c>
      <c r="M428">
        <v>2</v>
      </c>
      <c r="N428">
        <v>433</v>
      </c>
    </row>
    <row r="429" spans="1:14" x14ac:dyDescent="0.3">
      <c r="A429">
        <v>428</v>
      </c>
      <c r="B429" t="s">
        <v>175</v>
      </c>
      <c r="C429">
        <v>10</v>
      </c>
      <c r="D429">
        <v>2</v>
      </c>
      <c r="E429" s="2">
        <v>44303</v>
      </c>
      <c r="F429" s="3">
        <v>0.14766203703703704</v>
      </c>
      <c r="G429" s="2">
        <v>44309</v>
      </c>
      <c r="H429" s="3">
        <v>0.81737268518518513</v>
      </c>
      <c r="I429" t="s">
        <v>433</v>
      </c>
      <c r="J429" t="s">
        <v>592</v>
      </c>
      <c r="K429">
        <v>3</v>
      </c>
      <c r="L429">
        <v>19</v>
      </c>
      <c r="M429">
        <v>6</v>
      </c>
      <c r="N429">
        <v>259</v>
      </c>
    </row>
    <row r="430" spans="1:14" x14ac:dyDescent="0.3">
      <c r="A430">
        <v>429</v>
      </c>
      <c r="B430" t="s">
        <v>49</v>
      </c>
      <c r="C430">
        <v>9</v>
      </c>
      <c r="D430">
        <v>5</v>
      </c>
      <c r="E430" s="2">
        <v>44532</v>
      </c>
      <c r="F430" s="3">
        <v>0.94927083333333329</v>
      </c>
      <c r="G430" s="2">
        <v>44538</v>
      </c>
      <c r="H430" s="3">
        <v>0.53046296296296291</v>
      </c>
      <c r="I430" t="s">
        <v>429</v>
      </c>
      <c r="J430" t="s">
        <v>588</v>
      </c>
      <c r="K430">
        <v>22</v>
      </c>
      <c r="L430">
        <v>12</v>
      </c>
      <c r="M430">
        <v>6</v>
      </c>
      <c r="N430">
        <v>1605</v>
      </c>
    </row>
    <row r="431" spans="1:14" x14ac:dyDescent="0.3">
      <c r="A431">
        <v>430</v>
      </c>
      <c r="B431" t="s">
        <v>203</v>
      </c>
      <c r="C431">
        <v>27</v>
      </c>
      <c r="D431">
        <v>2</v>
      </c>
      <c r="E431" s="2">
        <v>44297</v>
      </c>
      <c r="F431" s="3">
        <v>0.3059027777777778</v>
      </c>
      <c r="G431" s="2">
        <v>44299</v>
      </c>
      <c r="H431" s="3">
        <v>0.41912037037037037</v>
      </c>
      <c r="I431" t="s">
        <v>429</v>
      </c>
      <c r="J431" t="s">
        <v>592</v>
      </c>
      <c r="K431">
        <v>7</v>
      </c>
      <c r="L431">
        <v>10</v>
      </c>
      <c r="M431">
        <v>2</v>
      </c>
      <c r="N431">
        <v>548</v>
      </c>
    </row>
    <row r="432" spans="1:14" x14ac:dyDescent="0.3">
      <c r="A432">
        <v>431</v>
      </c>
      <c r="B432" t="s">
        <v>250</v>
      </c>
      <c r="C432">
        <v>1</v>
      </c>
      <c r="D432">
        <v>4</v>
      </c>
      <c r="E432" s="2">
        <v>44416</v>
      </c>
      <c r="F432" s="3">
        <v>0.8011921296296296</v>
      </c>
      <c r="G432" s="2">
        <v>44422</v>
      </c>
      <c r="H432" s="3">
        <v>0.87666666666666671</v>
      </c>
      <c r="I432" t="s">
        <v>594</v>
      </c>
      <c r="J432" t="s">
        <v>596</v>
      </c>
      <c r="K432">
        <v>19</v>
      </c>
      <c r="L432">
        <v>21</v>
      </c>
      <c r="M432">
        <v>6</v>
      </c>
      <c r="N432">
        <v>1935</v>
      </c>
    </row>
    <row r="433" spans="1:14" x14ac:dyDescent="0.3">
      <c r="A433">
        <v>432</v>
      </c>
      <c r="B433" t="s">
        <v>386</v>
      </c>
      <c r="C433">
        <v>12</v>
      </c>
      <c r="D433">
        <v>4</v>
      </c>
      <c r="E433" s="2">
        <v>44526</v>
      </c>
      <c r="F433" s="3">
        <v>0.50656250000000003</v>
      </c>
      <c r="G433" s="2">
        <v>44531</v>
      </c>
      <c r="H433" s="3">
        <v>0.81988425925925923</v>
      </c>
      <c r="I433" t="s">
        <v>437</v>
      </c>
      <c r="J433" t="s">
        <v>597</v>
      </c>
      <c r="K433">
        <v>12</v>
      </c>
      <c r="L433">
        <v>19</v>
      </c>
      <c r="M433">
        <v>5</v>
      </c>
      <c r="N433">
        <v>672</v>
      </c>
    </row>
    <row r="434" spans="1:14" x14ac:dyDescent="0.3">
      <c r="A434">
        <v>433</v>
      </c>
      <c r="B434" t="s">
        <v>292</v>
      </c>
      <c r="C434">
        <v>7</v>
      </c>
      <c r="D434">
        <v>5</v>
      </c>
      <c r="E434" s="2">
        <v>44392</v>
      </c>
      <c r="F434" s="3">
        <v>0.98184027777777783</v>
      </c>
      <c r="G434" s="2">
        <v>44398</v>
      </c>
      <c r="H434" s="3">
        <v>0.18050925925925926</v>
      </c>
      <c r="I434" t="s">
        <v>433</v>
      </c>
      <c r="J434" t="s">
        <v>590</v>
      </c>
      <c r="K434">
        <v>23</v>
      </c>
      <c r="L434">
        <v>4</v>
      </c>
      <c r="M434">
        <v>6</v>
      </c>
      <c r="N434">
        <v>409</v>
      </c>
    </row>
    <row r="435" spans="1:14" x14ac:dyDescent="0.3">
      <c r="A435">
        <v>434</v>
      </c>
      <c r="B435" t="s">
        <v>103</v>
      </c>
      <c r="C435">
        <v>51</v>
      </c>
      <c r="D435">
        <v>4</v>
      </c>
      <c r="E435" s="2">
        <v>44223</v>
      </c>
      <c r="F435" s="3">
        <v>0.30770833333333331</v>
      </c>
      <c r="G435" s="2">
        <v>44225</v>
      </c>
      <c r="H435" s="3">
        <v>0.8218981481481481</v>
      </c>
      <c r="I435" t="s">
        <v>594</v>
      </c>
      <c r="J435" t="s">
        <v>598</v>
      </c>
      <c r="K435">
        <v>7</v>
      </c>
      <c r="L435">
        <v>19</v>
      </c>
      <c r="M435">
        <v>2</v>
      </c>
      <c r="N435">
        <v>1084</v>
      </c>
    </row>
    <row r="436" spans="1:14" x14ac:dyDescent="0.3">
      <c r="A436">
        <v>435</v>
      </c>
      <c r="B436" t="s">
        <v>91</v>
      </c>
      <c r="C436">
        <v>53</v>
      </c>
      <c r="D436">
        <v>4</v>
      </c>
      <c r="E436" s="2">
        <v>44561</v>
      </c>
      <c r="F436" s="3">
        <v>0.72743055555555558</v>
      </c>
      <c r="G436" s="2">
        <v>44565</v>
      </c>
      <c r="H436" s="3">
        <v>0.52446759259259257</v>
      </c>
      <c r="I436" t="s">
        <v>429</v>
      </c>
      <c r="J436" t="s">
        <v>588</v>
      </c>
      <c r="K436">
        <v>17</v>
      </c>
      <c r="L436">
        <v>12</v>
      </c>
      <c r="M436">
        <v>4</v>
      </c>
      <c r="N436">
        <v>1672</v>
      </c>
    </row>
    <row r="437" spans="1:14" x14ac:dyDescent="0.3">
      <c r="A437">
        <v>436</v>
      </c>
      <c r="B437" t="s">
        <v>253</v>
      </c>
      <c r="C437">
        <v>8</v>
      </c>
      <c r="D437">
        <v>1</v>
      </c>
      <c r="E437" s="2">
        <v>44246</v>
      </c>
      <c r="F437" s="3">
        <v>0.25555555555555554</v>
      </c>
      <c r="G437" s="2">
        <v>44252</v>
      </c>
      <c r="H437" s="3">
        <v>0.34431712962962963</v>
      </c>
      <c r="I437" t="s">
        <v>437</v>
      </c>
      <c r="J437" t="s">
        <v>599</v>
      </c>
      <c r="K437">
        <v>6</v>
      </c>
      <c r="L437">
        <v>8</v>
      </c>
      <c r="M437">
        <v>6</v>
      </c>
      <c r="N437">
        <v>252</v>
      </c>
    </row>
    <row r="438" spans="1:14" x14ac:dyDescent="0.3">
      <c r="A438">
        <v>437</v>
      </c>
      <c r="B438" t="s">
        <v>62</v>
      </c>
      <c r="C438">
        <v>55</v>
      </c>
      <c r="D438">
        <v>1</v>
      </c>
      <c r="E438" s="2">
        <v>44235</v>
      </c>
      <c r="F438" s="3">
        <v>0.27137731481481481</v>
      </c>
      <c r="G438" s="2">
        <v>44239</v>
      </c>
      <c r="H438" s="3">
        <v>0.95599537037037041</v>
      </c>
      <c r="I438" t="s">
        <v>429</v>
      </c>
      <c r="J438" t="s">
        <v>599</v>
      </c>
      <c r="K438">
        <v>6</v>
      </c>
      <c r="L438">
        <v>22</v>
      </c>
      <c r="M438">
        <v>4</v>
      </c>
      <c r="N438">
        <v>1904</v>
      </c>
    </row>
    <row r="439" spans="1:14" x14ac:dyDescent="0.3">
      <c r="A439">
        <v>438</v>
      </c>
      <c r="B439" t="s">
        <v>171</v>
      </c>
      <c r="C439">
        <v>34</v>
      </c>
      <c r="D439">
        <v>2</v>
      </c>
      <c r="E439" s="2">
        <v>44349</v>
      </c>
      <c r="F439" s="3">
        <v>0.39394675925925926</v>
      </c>
      <c r="G439" s="2">
        <v>44355</v>
      </c>
      <c r="H439" s="3">
        <v>0.1378587962962963</v>
      </c>
      <c r="I439" t="s">
        <v>429</v>
      </c>
      <c r="J439" t="s">
        <v>586</v>
      </c>
      <c r="K439">
        <v>9</v>
      </c>
      <c r="L439">
        <v>3</v>
      </c>
      <c r="M439">
        <v>6</v>
      </c>
      <c r="N439">
        <v>1335</v>
      </c>
    </row>
    <row r="440" spans="1:14" x14ac:dyDescent="0.3">
      <c r="A440">
        <v>439</v>
      </c>
      <c r="B440" t="s">
        <v>171</v>
      </c>
      <c r="C440">
        <v>12</v>
      </c>
      <c r="D440">
        <v>3</v>
      </c>
      <c r="E440" s="2">
        <v>44425</v>
      </c>
      <c r="F440" s="3">
        <v>0.37234953703703705</v>
      </c>
      <c r="G440" s="2">
        <v>44427</v>
      </c>
      <c r="H440" s="3">
        <v>0.53548611111111111</v>
      </c>
      <c r="I440" t="s">
        <v>437</v>
      </c>
      <c r="J440" t="s">
        <v>596</v>
      </c>
      <c r="K440">
        <v>8</v>
      </c>
      <c r="L440">
        <v>12</v>
      </c>
      <c r="M440">
        <v>2</v>
      </c>
      <c r="N440">
        <v>672</v>
      </c>
    </row>
    <row r="441" spans="1:14" x14ac:dyDescent="0.3">
      <c r="A441">
        <v>440</v>
      </c>
      <c r="B441" t="s">
        <v>95</v>
      </c>
      <c r="C441">
        <v>13</v>
      </c>
      <c r="D441">
        <v>4</v>
      </c>
      <c r="E441" s="2">
        <v>44399</v>
      </c>
      <c r="F441" s="3">
        <v>0.39827546296296296</v>
      </c>
      <c r="G441" s="2">
        <v>44405</v>
      </c>
      <c r="H441" s="3">
        <v>5.6585648148148149E-2</v>
      </c>
      <c r="I441" t="s">
        <v>433</v>
      </c>
      <c r="J441" t="s">
        <v>590</v>
      </c>
      <c r="K441">
        <v>9</v>
      </c>
      <c r="L441">
        <v>1</v>
      </c>
      <c r="M441">
        <v>6</v>
      </c>
      <c r="N441">
        <v>1141</v>
      </c>
    </row>
    <row r="442" spans="1:14" x14ac:dyDescent="0.3">
      <c r="A442">
        <v>441</v>
      </c>
      <c r="B442" t="s">
        <v>230</v>
      </c>
      <c r="C442">
        <v>26</v>
      </c>
      <c r="D442">
        <v>2</v>
      </c>
      <c r="E442" s="2">
        <v>44503</v>
      </c>
      <c r="F442" s="3">
        <v>0.47495370370370371</v>
      </c>
      <c r="G442" s="2">
        <v>44509</v>
      </c>
      <c r="H442" s="3">
        <v>0.69363425925925926</v>
      </c>
      <c r="I442" t="s">
        <v>433</v>
      </c>
      <c r="J442" t="s">
        <v>597</v>
      </c>
      <c r="K442">
        <v>11</v>
      </c>
      <c r="L442">
        <v>16</v>
      </c>
      <c r="M442">
        <v>6</v>
      </c>
      <c r="N442">
        <v>289</v>
      </c>
    </row>
    <row r="443" spans="1:14" x14ac:dyDescent="0.3">
      <c r="A443">
        <v>442</v>
      </c>
      <c r="B443" t="s">
        <v>115</v>
      </c>
      <c r="C443">
        <v>3</v>
      </c>
      <c r="D443">
        <v>3</v>
      </c>
      <c r="E443" s="2">
        <v>44527</v>
      </c>
      <c r="F443" s="3">
        <v>0.75231481481481477</v>
      </c>
      <c r="G443" s="2">
        <v>44531</v>
      </c>
      <c r="H443" s="3">
        <v>0.33725694444444443</v>
      </c>
      <c r="I443" t="s">
        <v>591</v>
      </c>
      <c r="J443" t="s">
        <v>597</v>
      </c>
      <c r="K443">
        <v>18</v>
      </c>
      <c r="L443">
        <v>8</v>
      </c>
      <c r="M443">
        <v>4</v>
      </c>
      <c r="N443">
        <v>1534</v>
      </c>
    </row>
    <row r="444" spans="1:14" x14ac:dyDescent="0.3">
      <c r="A444">
        <v>443</v>
      </c>
      <c r="B444" t="s">
        <v>207</v>
      </c>
      <c r="C444">
        <v>49</v>
      </c>
      <c r="D444">
        <v>3</v>
      </c>
      <c r="E444" s="2">
        <v>44519</v>
      </c>
      <c r="F444" s="3">
        <v>0.93216435185185187</v>
      </c>
      <c r="G444" s="2">
        <v>44522</v>
      </c>
      <c r="H444" s="3">
        <v>9.4444444444444442E-2</v>
      </c>
      <c r="I444" t="s">
        <v>591</v>
      </c>
      <c r="J444" t="s">
        <v>597</v>
      </c>
      <c r="K444">
        <v>22</v>
      </c>
      <c r="L444">
        <v>2</v>
      </c>
      <c r="M444">
        <v>3</v>
      </c>
      <c r="N444">
        <v>903</v>
      </c>
    </row>
    <row r="445" spans="1:14" x14ac:dyDescent="0.3">
      <c r="A445">
        <v>444</v>
      </c>
      <c r="B445" t="s">
        <v>107</v>
      </c>
      <c r="C445">
        <v>60</v>
      </c>
      <c r="D445">
        <v>3</v>
      </c>
      <c r="E445" s="2">
        <v>44276</v>
      </c>
      <c r="F445" s="3">
        <v>4.2511574074074077E-2</v>
      </c>
      <c r="G445" s="2">
        <v>44281</v>
      </c>
      <c r="H445" s="3">
        <v>0.41273148148148148</v>
      </c>
      <c r="I445" t="s">
        <v>429</v>
      </c>
      <c r="J445" t="s">
        <v>589</v>
      </c>
      <c r="K445">
        <v>1</v>
      </c>
      <c r="L445">
        <v>9</v>
      </c>
      <c r="M445">
        <v>5</v>
      </c>
      <c r="N445">
        <v>827</v>
      </c>
    </row>
    <row r="446" spans="1:14" x14ac:dyDescent="0.3">
      <c r="A446">
        <v>445</v>
      </c>
      <c r="B446" t="s">
        <v>211</v>
      </c>
      <c r="C446">
        <v>30</v>
      </c>
      <c r="D446">
        <v>5</v>
      </c>
      <c r="E446" s="2">
        <v>44314</v>
      </c>
      <c r="F446" s="3">
        <v>0.83937499999999998</v>
      </c>
      <c r="G446" s="2">
        <v>44319</v>
      </c>
      <c r="H446" s="3">
        <v>0.59892361111111114</v>
      </c>
      <c r="I446" t="s">
        <v>437</v>
      </c>
      <c r="J446" t="s">
        <v>592</v>
      </c>
      <c r="K446">
        <v>20</v>
      </c>
      <c r="L446">
        <v>14</v>
      </c>
      <c r="M446">
        <v>5</v>
      </c>
      <c r="N446">
        <v>751</v>
      </c>
    </row>
    <row r="447" spans="1:14" x14ac:dyDescent="0.3">
      <c r="A447">
        <v>446</v>
      </c>
      <c r="B447" t="s">
        <v>336</v>
      </c>
      <c r="C447">
        <v>33</v>
      </c>
      <c r="D447">
        <v>5</v>
      </c>
      <c r="E447" s="2">
        <v>44546</v>
      </c>
      <c r="F447" s="3">
        <v>0.12087962962962963</v>
      </c>
      <c r="G447" s="2">
        <v>44552</v>
      </c>
      <c r="H447" s="3">
        <v>0.46074074074074073</v>
      </c>
      <c r="I447" t="s">
        <v>591</v>
      </c>
      <c r="J447" t="s">
        <v>588</v>
      </c>
      <c r="K447">
        <v>2</v>
      </c>
      <c r="L447">
        <v>11</v>
      </c>
      <c r="M447">
        <v>6</v>
      </c>
      <c r="N447">
        <v>314</v>
      </c>
    </row>
    <row r="448" spans="1:14" x14ac:dyDescent="0.3">
      <c r="A448">
        <v>447</v>
      </c>
      <c r="B448" t="s">
        <v>151</v>
      </c>
      <c r="C448">
        <v>47</v>
      </c>
      <c r="D448">
        <v>4</v>
      </c>
      <c r="E448" s="2">
        <v>44283</v>
      </c>
      <c r="F448" s="3">
        <v>0.11497685185185186</v>
      </c>
      <c r="G448" s="2">
        <v>44289</v>
      </c>
      <c r="H448" s="3">
        <v>0.62842592592592594</v>
      </c>
      <c r="I448" t="s">
        <v>433</v>
      </c>
      <c r="J448" t="s">
        <v>589</v>
      </c>
      <c r="K448">
        <v>2</v>
      </c>
      <c r="L448">
        <v>15</v>
      </c>
      <c r="M448">
        <v>6</v>
      </c>
      <c r="N448">
        <v>1638</v>
      </c>
    </row>
    <row r="449" spans="1:14" x14ac:dyDescent="0.3">
      <c r="A449">
        <v>448</v>
      </c>
      <c r="B449" t="s">
        <v>363</v>
      </c>
      <c r="C449">
        <v>16</v>
      </c>
      <c r="D449">
        <v>1</v>
      </c>
      <c r="E449" s="2">
        <v>44223</v>
      </c>
      <c r="F449" s="3">
        <v>0.113125</v>
      </c>
      <c r="G449" s="2">
        <v>44227</v>
      </c>
      <c r="H449" s="3">
        <v>0.57111111111111112</v>
      </c>
      <c r="I449" t="s">
        <v>433</v>
      </c>
      <c r="J449" t="s">
        <v>598</v>
      </c>
      <c r="K449">
        <v>2</v>
      </c>
      <c r="L449">
        <v>13</v>
      </c>
      <c r="M449">
        <v>4</v>
      </c>
      <c r="N449">
        <v>1721</v>
      </c>
    </row>
    <row r="450" spans="1:14" x14ac:dyDescent="0.3">
      <c r="A450">
        <v>449</v>
      </c>
      <c r="B450" t="s">
        <v>203</v>
      </c>
      <c r="C450">
        <v>49</v>
      </c>
      <c r="D450">
        <v>4</v>
      </c>
      <c r="E450" s="2">
        <v>44443</v>
      </c>
      <c r="F450" s="3">
        <v>0.13780092592592594</v>
      </c>
      <c r="G450" s="2">
        <v>44449</v>
      </c>
      <c r="H450" s="3">
        <v>0.4233912037037037</v>
      </c>
      <c r="I450" t="s">
        <v>591</v>
      </c>
      <c r="J450" t="s">
        <v>595</v>
      </c>
      <c r="K450">
        <v>3</v>
      </c>
      <c r="L450">
        <v>10</v>
      </c>
      <c r="M450">
        <v>6</v>
      </c>
      <c r="N450">
        <v>903</v>
      </c>
    </row>
    <row r="451" spans="1:14" x14ac:dyDescent="0.3">
      <c r="A451">
        <v>450</v>
      </c>
      <c r="B451" t="s">
        <v>401</v>
      </c>
      <c r="C451">
        <v>39</v>
      </c>
      <c r="D451">
        <v>5</v>
      </c>
      <c r="E451" s="2">
        <v>44274</v>
      </c>
      <c r="F451" s="3">
        <v>0.33200231481481479</v>
      </c>
      <c r="G451" s="2">
        <v>44278</v>
      </c>
      <c r="H451" s="3">
        <v>0.42358796296296297</v>
      </c>
      <c r="I451" t="s">
        <v>594</v>
      </c>
      <c r="J451" t="s">
        <v>589</v>
      </c>
      <c r="K451">
        <v>7</v>
      </c>
      <c r="L451">
        <v>10</v>
      </c>
      <c r="M451">
        <v>4</v>
      </c>
      <c r="N451">
        <v>387</v>
      </c>
    </row>
    <row r="452" spans="1:14" x14ac:dyDescent="0.3">
      <c r="A452">
        <v>451</v>
      </c>
      <c r="B452" t="s">
        <v>336</v>
      </c>
      <c r="C452">
        <v>33</v>
      </c>
      <c r="D452">
        <v>5</v>
      </c>
      <c r="E452" s="2">
        <v>44299</v>
      </c>
      <c r="F452" s="3">
        <v>1.1712962962962963E-2</v>
      </c>
      <c r="G452" s="2">
        <v>44305</v>
      </c>
      <c r="H452" s="3">
        <v>0.88260416666666663</v>
      </c>
      <c r="I452" t="s">
        <v>591</v>
      </c>
      <c r="J452" t="s">
        <v>592</v>
      </c>
      <c r="K452">
        <v>0</v>
      </c>
      <c r="L452">
        <v>21</v>
      </c>
      <c r="M452">
        <v>6</v>
      </c>
      <c r="N452">
        <v>314</v>
      </c>
    </row>
    <row r="453" spans="1:14" x14ac:dyDescent="0.3">
      <c r="A453">
        <v>452</v>
      </c>
      <c r="B453" t="s">
        <v>203</v>
      </c>
      <c r="C453">
        <v>70</v>
      </c>
      <c r="D453">
        <v>3</v>
      </c>
      <c r="E453" s="2">
        <v>44225</v>
      </c>
      <c r="F453" s="3">
        <v>0.83158564814814817</v>
      </c>
      <c r="G453" s="2">
        <v>44228</v>
      </c>
      <c r="H453" s="3">
        <v>0.48770833333333335</v>
      </c>
      <c r="I453" t="s">
        <v>433</v>
      </c>
      <c r="J453" t="s">
        <v>598</v>
      </c>
      <c r="K453">
        <v>19</v>
      </c>
      <c r="L453">
        <v>11</v>
      </c>
      <c r="M453">
        <v>3</v>
      </c>
      <c r="N453">
        <v>866</v>
      </c>
    </row>
    <row r="454" spans="1:14" x14ac:dyDescent="0.3">
      <c r="A454">
        <v>453</v>
      </c>
      <c r="B454" t="s">
        <v>151</v>
      </c>
      <c r="C454">
        <v>27</v>
      </c>
      <c r="D454">
        <v>2</v>
      </c>
      <c r="E454" s="2">
        <v>44240</v>
      </c>
      <c r="F454" s="3">
        <v>0.42475694444444445</v>
      </c>
      <c r="G454" s="2">
        <v>44244</v>
      </c>
      <c r="H454" s="3">
        <v>0.51968749999999997</v>
      </c>
      <c r="I454" t="s">
        <v>429</v>
      </c>
      <c r="J454" t="s">
        <v>599</v>
      </c>
      <c r="K454">
        <v>10</v>
      </c>
      <c r="L454">
        <v>12</v>
      </c>
      <c r="M454">
        <v>4</v>
      </c>
      <c r="N454">
        <v>548</v>
      </c>
    </row>
    <row r="455" spans="1:14" x14ac:dyDescent="0.3">
      <c r="A455">
        <v>454</v>
      </c>
      <c r="B455" t="s">
        <v>371</v>
      </c>
      <c r="C455">
        <v>3</v>
      </c>
      <c r="D455">
        <v>2</v>
      </c>
      <c r="E455" s="2">
        <v>44313</v>
      </c>
      <c r="F455" s="3">
        <v>0.97695601851851854</v>
      </c>
      <c r="G455" s="2">
        <v>44317</v>
      </c>
      <c r="H455" s="3">
        <v>5.6898148148148149E-2</v>
      </c>
      <c r="I455" t="s">
        <v>591</v>
      </c>
      <c r="J455" t="s">
        <v>592</v>
      </c>
      <c r="K455">
        <v>23</v>
      </c>
      <c r="L455">
        <v>1</v>
      </c>
      <c r="M455">
        <v>4</v>
      </c>
      <c r="N455">
        <v>1534</v>
      </c>
    </row>
    <row r="456" spans="1:14" x14ac:dyDescent="0.3">
      <c r="A456">
        <v>455</v>
      </c>
      <c r="B456" t="s">
        <v>308</v>
      </c>
      <c r="C456">
        <v>1</v>
      </c>
      <c r="D456">
        <v>2</v>
      </c>
      <c r="E456" s="2">
        <v>44281</v>
      </c>
      <c r="F456" s="3">
        <v>0.94016203703703705</v>
      </c>
      <c r="G456" s="2">
        <v>44283</v>
      </c>
      <c r="H456" s="3">
        <v>0.75300925925925921</v>
      </c>
      <c r="I456" t="s">
        <v>594</v>
      </c>
      <c r="J456" t="s">
        <v>589</v>
      </c>
      <c r="K456">
        <v>22</v>
      </c>
      <c r="L456">
        <v>18</v>
      </c>
      <c r="M456">
        <v>2</v>
      </c>
      <c r="N456">
        <v>1935</v>
      </c>
    </row>
    <row r="457" spans="1:14" x14ac:dyDescent="0.3">
      <c r="A457">
        <v>456</v>
      </c>
      <c r="B457" t="s">
        <v>304</v>
      </c>
      <c r="C457">
        <v>33</v>
      </c>
      <c r="D457">
        <v>2</v>
      </c>
      <c r="E457" s="2">
        <v>44371</v>
      </c>
      <c r="F457" s="3">
        <v>0.95253472222222224</v>
      </c>
      <c r="G457" s="2">
        <v>44376</v>
      </c>
      <c r="H457" s="3">
        <v>0.92645833333333338</v>
      </c>
      <c r="I457" t="s">
        <v>591</v>
      </c>
      <c r="J457" t="s">
        <v>586</v>
      </c>
      <c r="K457">
        <v>22</v>
      </c>
      <c r="L457">
        <v>22</v>
      </c>
      <c r="M457">
        <v>5</v>
      </c>
      <c r="N457">
        <v>314</v>
      </c>
    </row>
    <row r="458" spans="1:14" x14ac:dyDescent="0.3">
      <c r="A458">
        <v>457</v>
      </c>
      <c r="B458" t="s">
        <v>167</v>
      </c>
      <c r="C458">
        <v>22</v>
      </c>
      <c r="D458">
        <v>5</v>
      </c>
      <c r="E458" s="2">
        <v>44305</v>
      </c>
      <c r="F458" s="3">
        <v>0.58031250000000001</v>
      </c>
      <c r="G458" s="2">
        <v>44310</v>
      </c>
      <c r="H458" s="3">
        <v>0.6933449074074074</v>
      </c>
      <c r="I458" t="s">
        <v>594</v>
      </c>
      <c r="J458" t="s">
        <v>592</v>
      </c>
      <c r="K458">
        <v>13</v>
      </c>
      <c r="L458">
        <v>16</v>
      </c>
      <c r="M458">
        <v>5</v>
      </c>
      <c r="N458">
        <v>1639</v>
      </c>
    </row>
    <row r="459" spans="1:14" x14ac:dyDescent="0.3">
      <c r="A459">
        <v>458</v>
      </c>
      <c r="B459" t="s">
        <v>238</v>
      </c>
      <c r="C459">
        <v>32</v>
      </c>
      <c r="D459">
        <v>2</v>
      </c>
      <c r="E459" s="2">
        <v>44446</v>
      </c>
      <c r="F459" s="3">
        <v>0.72326388888888893</v>
      </c>
      <c r="G459" s="2">
        <v>44450</v>
      </c>
      <c r="H459" s="3">
        <v>0.85606481481481478</v>
      </c>
      <c r="I459" t="s">
        <v>433</v>
      </c>
      <c r="J459" t="s">
        <v>595</v>
      </c>
      <c r="K459">
        <v>17</v>
      </c>
      <c r="L459">
        <v>20</v>
      </c>
      <c r="M459">
        <v>4</v>
      </c>
      <c r="N459">
        <v>1792</v>
      </c>
    </row>
    <row r="460" spans="1:14" x14ac:dyDescent="0.3">
      <c r="A460">
        <v>459</v>
      </c>
      <c r="B460" t="s">
        <v>390</v>
      </c>
      <c r="C460">
        <v>12</v>
      </c>
      <c r="D460">
        <v>2</v>
      </c>
      <c r="E460" s="2">
        <v>44530</v>
      </c>
      <c r="F460" s="3">
        <v>0.30896990740740743</v>
      </c>
      <c r="G460" s="2">
        <v>44533</v>
      </c>
      <c r="H460" s="3">
        <v>0.31563657407407408</v>
      </c>
      <c r="I460" t="s">
        <v>437</v>
      </c>
      <c r="J460" t="s">
        <v>597</v>
      </c>
      <c r="K460">
        <v>7</v>
      </c>
      <c r="L460">
        <v>7</v>
      </c>
      <c r="M460">
        <v>3</v>
      </c>
      <c r="N460">
        <v>672</v>
      </c>
    </row>
    <row r="461" spans="1:14" x14ac:dyDescent="0.3">
      <c r="A461">
        <v>460</v>
      </c>
      <c r="B461" t="s">
        <v>49</v>
      </c>
      <c r="C461">
        <v>29</v>
      </c>
      <c r="D461">
        <v>2</v>
      </c>
      <c r="E461" s="2">
        <v>44399</v>
      </c>
      <c r="F461" s="3">
        <v>0.33232638888888888</v>
      </c>
      <c r="G461" s="2">
        <v>44402</v>
      </c>
      <c r="H461" s="3">
        <v>5.162037037037037E-3</v>
      </c>
      <c r="I461" t="s">
        <v>433</v>
      </c>
      <c r="J461" t="s">
        <v>590</v>
      </c>
      <c r="K461">
        <v>7</v>
      </c>
      <c r="L461">
        <v>0</v>
      </c>
      <c r="M461">
        <v>3</v>
      </c>
      <c r="N461">
        <v>1252</v>
      </c>
    </row>
    <row r="462" spans="1:14" x14ac:dyDescent="0.3">
      <c r="A462">
        <v>461</v>
      </c>
      <c r="B462" t="s">
        <v>351</v>
      </c>
      <c r="C462">
        <v>12</v>
      </c>
      <c r="D462">
        <v>4</v>
      </c>
      <c r="E462" s="2">
        <v>44503</v>
      </c>
      <c r="F462" s="3">
        <v>0.34209490740740739</v>
      </c>
      <c r="G462" s="2">
        <v>44507</v>
      </c>
      <c r="H462" s="3">
        <v>0.62009259259259264</v>
      </c>
      <c r="I462" t="s">
        <v>437</v>
      </c>
      <c r="J462" t="s">
        <v>597</v>
      </c>
      <c r="K462">
        <v>8</v>
      </c>
      <c r="L462">
        <v>14</v>
      </c>
      <c r="M462">
        <v>4</v>
      </c>
      <c r="N462">
        <v>672</v>
      </c>
    </row>
    <row r="463" spans="1:14" x14ac:dyDescent="0.3">
      <c r="A463">
        <v>462</v>
      </c>
      <c r="B463" t="s">
        <v>296</v>
      </c>
      <c r="C463">
        <v>60</v>
      </c>
      <c r="D463">
        <v>5</v>
      </c>
      <c r="E463" s="2">
        <v>44567</v>
      </c>
      <c r="F463" s="3">
        <v>0.75701388888888888</v>
      </c>
      <c r="G463" s="2">
        <v>44569</v>
      </c>
      <c r="H463" s="3">
        <v>0.59738425925925931</v>
      </c>
      <c r="I463" t="s">
        <v>429</v>
      </c>
      <c r="J463" t="s">
        <v>598</v>
      </c>
      <c r="K463">
        <v>18</v>
      </c>
      <c r="L463">
        <v>14</v>
      </c>
      <c r="M463">
        <v>2</v>
      </c>
      <c r="N463">
        <v>827</v>
      </c>
    </row>
    <row r="464" spans="1:14" x14ac:dyDescent="0.3">
      <c r="A464">
        <v>463</v>
      </c>
      <c r="B464" t="s">
        <v>332</v>
      </c>
      <c r="C464">
        <v>18</v>
      </c>
      <c r="D464">
        <v>3</v>
      </c>
      <c r="E464" s="2">
        <v>44480</v>
      </c>
      <c r="F464" s="3">
        <v>0.9331828703703704</v>
      </c>
      <c r="G464" s="2">
        <v>44483</v>
      </c>
      <c r="H464" s="3">
        <v>3.6145833333333335E-2</v>
      </c>
      <c r="I464" t="s">
        <v>433</v>
      </c>
      <c r="J464" t="s">
        <v>587</v>
      </c>
      <c r="K464">
        <v>22</v>
      </c>
      <c r="L464">
        <v>0</v>
      </c>
      <c r="M464">
        <v>3</v>
      </c>
      <c r="N464">
        <v>781</v>
      </c>
    </row>
    <row r="465" spans="1:14" x14ac:dyDescent="0.3">
      <c r="A465">
        <v>464</v>
      </c>
      <c r="B465" t="s">
        <v>79</v>
      </c>
      <c r="C465">
        <v>18</v>
      </c>
      <c r="D465">
        <v>3</v>
      </c>
      <c r="E465" s="2">
        <v>44566</v>
      </c>
      <c r="F465" s="3">
        <v>0.12806712962962963</v>
      </c>
      <c r="G465" s="2">
        <v>44568</v>
      </c>
      <c r="H465" s="3">
        <v>0.56857638888888884</v>
      </c>
      <c r="I465" t="s">
        <v>433</v>
      </c>
      <c r="J465" t="s">
        <v>598</v>
      </c>
      <c r="K465">
        <v>3</v>
      </c>
      <c r="L465">
        <v>13</v>
      </c>
      <c r="M465">
        <v>2</v>
      </c>
      <c r="N465">
        <v>781</v>
      </c>
    </row>
    <row r="466" spans="1:14" x14ac:dyDescent="0.3">
      <c r="A466">
        <v>465</v>
      </c>
      <c r="B466" t="s">
        <v>139</v>
      </c>
      <c r="C466">
        <v>55</v>
      </c>
      <c r="D466">
        <v>5</v>
      </c>
      <c r="E466" s="2">
        <v>44561</v>
      </c>
      <c r="F466" s="3">
        <v>0.99041666666666661</v>
      </c>
      <c r="G466" s="2">
        <v>44567</v>
      </c>
      <c r="H466" s="3">
        <v>0.56193287037037032</v>
      </c>
      <c r="I466" t="s">
        <v>429</v>
      </c>
      <c r="J466" t="s">
        <v>588</v>
      </c>
      <c r="K466">
        <v>23</v>
      </c>
      <c r="L466">
        <v>13</v>
      </c>
      <c r="M466">
        <v>6</v>
      </c>
      <c r="N466">
        <v>1904</v>
      </c>
    </row>
    <row r="467" spans="1:14" x14ac:dyDescent="0.3">
      <c r="A467">
        <v>466</v>
      </c>
      <c r="B467" t="s">
        <v>234</v>
      </c>
      <c r="C467">
        <v>23</v>
      </c>
      <c r="D467">
        <v>1</v>
      </c>
      <c r="E467" s="2">
        <v>44544</v>
      </c>
      <c r="F467" s="3">
        <v>0.58219907407407412</v>
      </c>
      <c r="G467" s="2">
        <v>44548</v>
      </c>
      <c r="H467" s="3">
        <v>0.41644675925925928</v>
      </c>
      <c r="I467" t="s">
        <v>437</v>
      </c>
      <c r="J467" t="s">
        <v>588</v>
      </c>
      <c r="K467">
        <v>13</v>
      </c>
      <c r="L467">
        <v>9</v>
      </c>
      <c r="M467">
        <v>4</v>
      </c>
      <c r="N467">
        <v>1098</v>
      </c>
    </row>
    <row r="468" spans="1:14" x14ac:dyDescent="0.3">
      <c r="A468">
        <v>467</v>
      </c>
      <c r="B468" t="s">
        <v>246</v>
      </c>
      <c r="C468">
        <v>53</v>
      </c>
      <c r="D468">
        <v>1</v>
      </c>
      <c r="E468" s="2">
        <v>44258</v>
      </c>
      <c r="F468" s="3">
        <v>0.59634259259259259</v>
      </c>
      <c r="G468" s="2">
        <v>44264</v>
      </c>
      <c r="H468" s="3">
        <v>0.63901620370370371</v>
      </c>
      <c r="I468" t="s">
        <v>429</v>
      </c>
      <c r="J468" t="s">
        <v>589</v>
      </c>
      <c r="K468">
        <v>14</v>
      </c>
      <c r="L468">
        <v>15</v>
      </c>
      <c r="M468">
        <v>6</v>
      </c>
      <c r="N468">
        <v>1672</v>
      </c>
    </row>
    <row r="469" spans="1:14" x14ac:dyDescent="0.3">
      <c r="A469">
        <v>468</v>
      </c>
      <c r="B469" t="s">
        <v>49</v>
      </c>
      <c r="C469">
        <v>5</v>
      </c>
      <c r="D469">
        <v>2</v>
      </c>
      <c r="E469" s="2">
        <v>44268</v>
      </c>
      <c r="F469" s="3">
        <v>0.33155092592592594</v>
      </c>
      <c r="G469" s="2">
        <v>44273</v>
      </c>
      <c r="H469" s="3">
        <v>5.8877314814814813E-2</v>
      </c>
      <c r="I469" t="s">
        <v>594</v>
      </c>
      <c r="J469" t="s">
        <v>589</v>
      </c>
      <c r="K469">
        <v>7</v>
      </c>
      <c r="L469">
        <v>1</v>
      </c>
      <c r="M469">
        <v>5</v>
      </c>
      <c r="N469">
        <v>1444</v>
      </c>
    </row>
    <row r="470" spans="1:14" x14ac:dyDescent="0.3">
      <c r="A470">
        <v>469</v>
      </c>
      <c r="B470" t="s">
        <v>226</v>
      </c>
      <c r="C470">
        <v>42</v>
      </c>
      <c r="D470">
        <v>4</v>
      </c>
      <c r="E470" s="2">
        <v>44489</v>
      </c>
      <c r="F470" s="3">
        <v>0.29583333333333334</v>
      </c>
      <c r="G470" s="2">
        <v>44491</v>
      </c>
      <c r="H470" s="3">
        <v>0.53945601851851854</v>
      </c>
      <c r="I470" t="s">
        <v>594</v>
      </c>
      <c r="J470" t="s">
        <v>587</v>
      </c>
      <c r="K470">
        <v>7</v>
      </c>
      <c r="L470">
        <v>12</v>
      </c>
      <c r="M470">
        <v>2</v>
      </c>
      <c r="N470">
        <v>1744</v>
      </c>
    </row>
    <row r="471" spans="1:14" x14ac:dyDescent="0.3">
      <c r="A471">
        <v>470</v>
      </c>
      <c r="B471" t="s">
        <v>147</v>
      </c>
      <c r="C471">
        <v>47</v>
      </c>
      <c r="D471">
        <v>5</v>
      </c>
      <c r="E471" s="2">
        <v>44440</v>
      </c>
      <c r="F471" s="3">
        <v>0.73199074074074078</v>
      </c>
      <c r="G471" s="2">
        <v>44443</v>
      </c>
      <c r="H471" s="3">
        <v>0.64547453703703705</v>
      </c>
      <c r="I471" t="s">
        <v>433</v>
      </c>
      <c r="J471" t="s">
        <v>595</v>
      </c>
      <c r="K471">
        <v>17</v>
      </c>
      <c r="L471">
        <v>15</v>
      </c>
      <c r="M471">
        <v>3</v>
      </c>
      <c r="N471">
        <v>1638</v>
      </c>
    </row>
    <row r="472" spans="1:14" x14ac:dyDescent="0.3">
      <c r="A472">
        <v>471</v>
      </c>
      <c r="B472" t="s">
        <v>386</v>
      </c>
      <c r="C472">
        <v>23</v>
      </c>
      <c r="D472">
        <v>2</v>
      </c>
      <c r="E472" s="2">
        <v>44336</v>
      </c>
      <c r="F472" s="3">
        <v>0.50626157407407413</v>
      </c>
      <c r="G472" s="2">
        <v>44342</v>
      </c>
      <c r="H472" s="3">
        <v>0.24312500000000001</v>
      </c>
      <c r="I472" t="s">
        <v>437</v>
      </c>
      <c r="J472" t="s">
        <v>593</v>
      </c>
      <c r="K472">
        <v>12</v>
      </c>
      <c r="L472">
        <v>5</v>
      </c>
      <c r="M472">
        <v>6</v>
      </c>
      <c r="N472">
        <v>1098</v>
      </c>
    </row>
    <row r="473" spans="1:14" x14ac:dyDescent="0.3">
      <c r="A473">
        <v>472</v>
      </c>
      <c r="B473" t="s">
        <v>83</v>
      </c>
      <c r="C473">
        <v>56</v>
      </c>
      <c r="D473">
        <v>1</v>
      </c>
      <c r="E473" s="2">
        <v>44452</v>
      </c>
      <c r="F473" s="3">
        <v>0.31432870370370369</v>
      </c>
      <c r="G473" s="2">
        <v>44454</v>
      </c>
      <c r="H473" s="3">
        <v>0.94881944444444444</v>
      </c>
      <c r="I473" t="s">
        <v>437</v>
      </c>
      <c r="J473" t="s">
        <v>595</v>
      </c>
      <c r="K473">
        <v>7</v>
      </c>
      <c r="L473">
        <v>22</v>
      </c>
      <c r="M473">
        <v>2</v>
      </c>
      <c r="N473">
        <v>1272</v>
      </c>
    </row>
    <row r="474" spans="1:14" x14ac:dyDescent="0.3">
      <c r="A474">
        <v>473</v>
      </c>
      <c r="B474" t="s">
        <v>265</v>
      </c>
      <c r="C474">
        <v>22</v>
      </c>
      <c r="D474">
        <v>3</v>
      </c>
      <c r="E474" s="2">
        <v>44444</v>
      </c>
      <c r="F474" s="3">
        <v>0.34302083333333333</v>
      </c>
      <c r="G474" s="2">
        <v>44449</v>
      </c>
      <c r="H474" s="3">
        <v>0.65576388888888892</v>
      </c>
      <c r="I474" t="s">
        <v>594</v>
      </c>
      <c r="J474" t="s">
        <v>595</v>
      </c>
      <c r="K474">
        <v>8</v>
      </c>
      <c r="L474">
        <v>15</v>
      </c>
      <c r="M474">
        <v>5</v>
      </c>
      <c r="N474">
        <v>1639</v>
      </c>
    </row>
    <row r="475" spans="1:14" x14ac:dyDescent="0.3">
      <c r="A475">
        <v>474</v>
      </c>
      <c r="B475" t="s">
        <v>226</v>
      </c>
      <c r="C475">
        <v>1</v>
      </c>
      <c r="D475">
        <v>4</v>
      </c>
      <c r="E475" s="2">
        <v>44398</v>
      </c>
      <c r="F475" s="3">
        <v>0.27221064814814816</v>
      </c>
      <c r="G475" s="2">
        <v>44404</v>
      </c>
      <c r="H475" s="3">
        <v>8.3414351851851851E-2</v>
      </c>
      <c r="I475" t="s">
        <v>594</v>
      </c>
      <c r="J475" t="s">
        <v>590</v>
      </c>
      <c r="K475">
        <v>6</v>
      </c>
      <c r="L475">
        <v>2</v>
      </c>
      <c r="M475">
        <v>6</v>
      </c>
      <c r="N475">
        <v>1935</v>
      </c>
    </row>
    <row r="476" spans="1:14" x14ac:dyDescent="0.3">
      <c r="A476">
        <v>475</v>
      </c>
      <c r="B476" t="s">
        <v>413</v>
      </c>
      <c r="C476">
        <v>46</v>
      </c>
      <c r="D476">
        <v>2</v>
      </c>
      <c r="E476" s="2">
        <v>44409</v>
      </c>
      <c r="F476" s="3">
        <v>0.30651620370370369</v>
      </c>
      <c r="G476" s="2">
        <v>44412</v>
      </c>
      <c r="H476" s="3">
        <v>0.56414351851851852</v>
      </c>
      <c r="I476" t="s">
        <v>437</v>
      </c>
      <c r="J476" t="s">
        <v>596</v>
      </c>
      <c r="K476">
        <v>7</v>
      </c>
      <c r="L476">
        <v>13</v>
      </c>
      <c r="M476">
        <v>3</v>
      </c>
      <c r="N476">
        <v>758</v>
      </c>
    </row>
    <row r="477" spans="1:14" x14ac:dyDescent="0.3">
      <c r="A477">
        <v>476</v>
      </c>
      <c r="B477" t="s">
        <v>288</v>
      </c>
      <c r="C477">
        <v>40</v>
      </c>
      <c r="D477">
        <v>2</v>
      </c>
      <c r="E477" s="2">
        <v>44561</v>
      </c>
      <c r="F477" s="3">
        <v>5.3680555555555558E-2</v>
      </c>
      <c r="G477" s="2">
        <v>44563</v>
      </c>
      <c r="H477" s="3">
        <v>0.74530092592592589</v>
      </c>
      <c r="I477" t="s">
        <v>437</v>
      </c>
      <c r="J477" t="s">
        <v>588</v>
      </c>
      <c r="K477">
        <v>1</v>
      </c>
      <c r="L477">
        <v>17</v>
      </c>
      <c r="M477">
        <v>2</v>
      </c>
      <c r="N477">
        <v>1923</v>
      </c>
    </row>
    <row r="478" spans="1:14" x14ac:dyDescent="0.3">
      <c r="A478">
        <v>477</v>
      </c>
      <c r="B478" t="s">
        <v>413</v>
      </c>
      <c r="C478">
        <v>33</v>
      </c>
      <c r="D478">
        <v>4</v>
      </c>
      <c r="E478" s="2">
        <v>44255</v>
      </c>
      <c r="F478" s="3">
        <v>0.72093750000000001</v>
      </c>
      <c r="G478" s="2">
        <v>44261</v>
      </c>
      <c r="H478" s="3">
        <v>0.13324074074074074</v>
      </c>
      <c r="I478" t="s">
        <v>591</v>
      </c>
      <c r="J478" t="s">
        <v>599</v>
      </c>
      <c r="K478">
        <v>17</v>
      </c>
      <c r="L478">
        <v>3</v>
      </c>
      <c r="M478">
        <v>6</v>
      </c>
      <c r="N478">
        <v>314</v>
      </c>
    </row>
    <row r="479" spans="1:14" x14ac:dyDescent="0.3">
      <c r="A479">
        <v>478</v>
      </c>
      <c r="B479" t="s">
        <v>30</v>
      </c>
      <c r="C479">
        <v>11</v>
      </c>
      <c r="D479">
        <v>5</v>
      </c>
      <c r="E479" s="2">
        <v>44389</v>
      </c>
      <c r="F479" s="3">
        <v>4.9548611111111113E-2</v>
      </c>
      <c r="G479" s="2">
        <v>44393</v>
      </c>
      <c r="H479" s="3">
        <v>0.40994212962962961</v>
      </c>
      <c r="I479" t="s">
        <v>591</v>
      </c>
      <c r="J479" t="s">
        <v>590</v>
      </c>
      <c r="K479">
        <v>1</v>
      </c>
      <c r="L479">
        <v>9</v>
      </c>
      <c r="M479">
        <v>4</v>
      </c>
      <c r="N479">
        <v>1096</v>
      </c>
    </row>
    <row r="480" spans="1:14" x14ac:dyDescent="0.3">
      <c r="A480">
        <v>479</v>
      </c>
      <c r="B480" t="s">
        <v>304</v>
      </c>
      <c r="C480">
        <v>11</v>
      </c>
      <c r="D480">
        <v>1</v>
      </c>
      <c r="E480" s="2">
        <v>44555</v>
      </c>
      <c r="F480" s="3">
        <v>0.74190972222222218</v>
      </c>
      <c r="G480" s="2">
        <v>44560</v>
      </c>
      <c r="H480" s="3">
        <v>0.45015046296296296</v>
      </c>
      <c r="I480" t="s">
        <v>591</v>
      </c>
      <c r="J480" t="s">
        <v>588</v>
      </c>
      <c r="K480">
        <v>17</v>
      </c>
      <c r="L480">
        <v>10</v>
      </c>
      <c r="M480">
        <v>5</v>
      </c>
      <c r="N480">
        <v>1096</v>
      </c>
    </row>
    <row r="481" spans="1:14" x14ac:dyDescent="0.3">
      <c r="A481">
        <v>480</v>
      </c>
      <c r="B481" t="s">
        <v>257</v>
      </c>
      <c r="C481">
        <v>62</v>
      </c>
      <c r="D481">
        <v>4</v>
      </c>
      <c r="E481" s="2">
        <v>44499</v>
      </c>
      <c r="F481" s="3">
        <v>0.18716435185185185</v>
      </c>
      <c r="G481" s="2">
        <v>44505</v>
      </c>
      <c r="H481" s="3">
        <v>0.93024305555555553</v>
      </c>
      <c r="I481" t="s">
        <v>433</v>
      </c>
      <c r="J481" t="s">
        <v>587</v>
      </c>
      <c r="K481">
        <v>4</v>
      </c>
      <c r="L481">
        <v>22</v>
      </c>
      <c r="M481">
        <v>6</v>
      </c>
      <c r="N481">
        <v>1356</v>
      </c>
    </row>
    <row r="482" spans="1:14" x14ac:dyDescent="0.3">
      <c r="A482">
        <v>481</v>
      </c>
      <c r="B482" t="s">
        <v>199</v>
      </c>
      <c r="C482">
        <v>12</v>
      </c>
      <c r="D482">
        <v>5</v>
      </c>
      <c r="E482" s="2">
        <v>44430</v>
      </c>
      <c r="F482" s="3">
        <v>6.134259259259259E-4</v>
      </c>
      <c r="G482" s="2">
        <v>44433</v>
      </c>
      <c r="H482" s="3">
        <v>0.77528935185185188</v>
      </c>
      <c r="I482" t="s">
        <v>437</v>
      </c>
      <c r="J482" t="s">
        <v>596</v>
      </c>
      <c r="K482">
        <v>0</v>
      </c>
      <c r="L482">
        <v>18</v>
      </c>
      <c r="M482">
        <v>3</v>
      </c>
      <c r="N482">
        <v>672</v>
      </c>
    </row>
    <row r="483" spans="1:14" x14ac:dyDescent="0.3">
      <c r="A483">
        <v>482</v>
      </c>
      <c r="B483" t="s">
        <v>222</v>
      </c>
      <c r="C483">
        <v>23</v>
      </c>
      <c r="D483">
        <v>3</v>
      </c>
      <c r="E483" s="2">
        <v>44274</v>
      </c>
      <c r="F483" s="3">
        <v>0.85668981481481477</v>
      </c>
      <c r="G483" s="2">
        <v>44279</v>
      </c>
      <c r="H483" s="3">
        <v>0.87262731481481481</v>
      </c>
      <c r="I483" t="s">
        <v>437</v>
      </c>
      <c r="J483" t="s">
        <v>589</v>
      </c>
      <c r="K483">
        <v>20</v>
      </c>
      <c r="L483">
        <v>20</v>
      </c>
      <c r="M483">
        <v>5</v>
      </c>
      <c r="N483">
        <v>1098</v>
      </c>
    </row>
    <row r="484" spans="1:14" x14ac:dyDescent="0.3">
      <c r="A484">
        <v>483</v>
      </c>
      <c r="B484" t="s">
        <v>49</v>
      </c>
      <c r="C484">
        <v>59</v>
      </c>
      <c r="D484">
        <v>2</v>
      </c>
      <c r="E484" s="2">
        <v>44243</v>
      </c>
      <c r="F484" s="3">
        <v>0.26739583333333333</v>
      </c>
      <c r="G484" s="2">
        <v>44248</v>
      </c>
      <c r="H484" s="3">
        <v>0.21252314814814816</v>
      </c>
      <c r="I484" t="s">
        <v>429</v>
      </c>
      <c r="J484" t="s">
        <v>599</v>
      </c>
      <c r="K484">
        <v>6</v>
      </c>
      <c r="L484">
        <v>5</v>
      </c>
      <c r="M484">
        <v>5</v>
      </c>
      <c r="N484">
        <v>811</v>
      </c>
    </row>
    <row r="485" spans="1:14" x14ac:dyDescent="0.3">
      <c r="A485">
        <v>484</v>
      </c>
      <c r="B485" t="s">
        <v>159</v>
      </c>
      <c r="C485">
        <v>1</v>
      </c>
      <c r="D485">
        <v>5</v>
      </c>
      <c r="E485" s="2">
        <v>44244</v>
      </c>
      <c r="F485" s="3">
        <v>0.79438657407407409</v>
      </c>
      <c r="G485" s="2">
        <v>44249</v>
      </c>
      <c r="H485" s="3">
        <v>0.8140856481481481</v>
      </c>
      <c r="I485" t="s">
        <v>594</v>
      </c>
      <c r="J485" t="s">
        <v>599</v>
      </c>
      <c r="K485">
        <v>19</v>
      </c>
      <c r="L485">
        <v>19</v>
      </c>
      <c r="M485">
        <v>5</v>
      </c>
      <c r="N485">
        <v>1935</v>
      </c>
    </row>
    <row r="486" spans="1:14" x14ac:dyDescent="0.3">
      <c r="A486">
        <v>485</v>
      </c>
      <c r="B486" t="s">
        <v>139</v>
      </c>
      <c r="C486">
        <v>43</v>
      </c>
      <c r="D486">
        <v>4</v>
      </c>
      <c r="E486" s="2">
        <v>44570</v>
      </c>
      <c r="F486" s="3">
        <v>0.80583333333333329</v>
      </c>
      <c r="G486" s="2">
        <v>44575</v>
      </c>
      <c r="H486" s="3">
        <v>0.81057870370370366</v>
      </c>
      <c r="I486" t="s">
        <v>429</v>
      </c>
      <c r="J486" t="s">
        <v>598</v>
      </c>
      <c r="K486">
        <v>19</v>
      </c>
      <c r="L486">
        <v>19</v>
      </c>
      <c r="M486">
        <v>5</v>
      </c>
      <c r="N486">
        <v>750</v>
      </c>
    </row>
    <row r="487" spans="1:14" x14ac:dyDescent="0.3">
      <c r="A487">
        <v>486</v>
      </c>
      <c r="B487" t="s">
        <v>143</v>
      </c>
      <c r="C487">
        <v>24</v>
      </c>
      <c r="D487">
        <v>1</v>
      </c>
      <c r="E487" s="2">
        <v>44519</v>
      </c>
      <c r="F487" s="3">
        <v>0.60729166666666667</v>
      </c>
      <c r="G487" s="2">
        <v>44523</v>
      </c>
      <c r="H487" s="3">
        <v>0.70734953703703707</v>
      </c>
      <c r="I487" t="s">
        <v>433</v>
      </c>
      <c r="J487" t="s">
        <v>597</v>
      </c>
      <c r="K487">
        <v>14</v>
      </c>
      <c r="L487">
        <v>16</v>
      </c>
      <c r="M487">
        <v>4</v>
      </c>
      <c r="N487">
        <v>535</v>
      </c>
    </row>
    <row r="488" spans="1:14" x14ac:dyDescent="0.3">
      <c r="A488">
        <v>487</v>
      </c>
      <c r="B488" t="s">
        <v>234</v>
      </c>
      <c r="C488">
        <v>51</v>
      </c>
      <c r="D488">
        <v>1</v>
      </c>
      <c r="E488" s="2">
        <v>44362</v>
      </c>
      <c r="F488" s="3">
        <v>0.69927083333333329</v>
      </c>
      <c r="G488" s="2">
        <v>44365</v>
      </c>
      <c r="H488" s="3">
        <v>0.18631944444444445</v>
      </c>
      <c r="I488" t="s">
        <v>594</v>
      </c>
      <c r="J488" t="s">
        <v>586</v>
      </c>
      <c r="K488">
        <v>16</v>
      </c>
      <c r="L488">
        <v>4</v>
      </c>
      <c r="M488">
        <v>3</v>
      </c>
      <c r="N488">
        <v>1084</v>
      </c>
    </row>
    <row r="489" spans="1:14" x14ac:dyDescent="0.3">
      <c r="A489">
        <v>488</v>
      </c>
      <c r="B489" t="s">
        <v>123</v>
      </c>
      <c r="C489">
        <v>21</v>
      </c>
      <c r="D489">
        <v>4</v>
      </c>
      <c r="E489" s="2">
        <v>44234</v>
      </c>
      <c r="F489" s="3">
        <v>0.92604166666666665</v>
      </c>
      <c r="G489" s="2">
        <v>44238</v>
      </c>
      <c r="H489" s="3">
        <v>0.22695601851851852</v>
      </c>
      <c r="I489" t="s">
        <v>429</v>
      </c>
      <c r="J489" t="s">
        <v>599</v>
      </c>
      <c r="K489">
        <v>22</v>
      </c>
      <c r="L489">
        <v>5</v>
      </c>
      <c r="M489">
        <v>4</v>
      </c>
      <c r="N489">
        <v>1561</v>
      </c>
    </row>
    <row r="490" spans="1:14" x14ac:dyDescent="0.3">
      <c r="A490">
        <v>489</v>
      </c>
      <c r="B490" t="s">
        <v>308</v>
      </c>
      <c r="C490">
        <v>10</v>
      </c>
      <c r="D490">
        <v>1</v>
      </c>
      <c r="E490" s="2">
        <v>44449</v>
      </c>
      <c r="F490" s="3">
        <v>0.93537037037037041</v>
      </c>
      <c r="G490" s="2">
        <v>44451</v>
      </c>
      <c r="H490" s="3">
        <v>0.1880324074074074</v>
      </c>
      <c r="I490" t="s">
        <v>433</v>
      </c>
      <c r="J490" t="s">
        <v>595</v>
      </c>
      <c r="K490">
        <v>22</v>
      </c>
      <c r="L490">
        <v>4</v>
      </c>
      <c r="M490">
        <v>2</v>
      </c>
      <c r="N490">
        <v>259</v>
      </c>
    </row>
    <row r="491" spans="1:14" x14ac:dyDescent="0.3">
      <c r="A491">
        <v>490</v>
      </c>
      <c r="B491" t="s">
        <v>320</v>
      </c>
      <c r="C491">
        <v>2</v>
      </c>
      <c r="D491">
        <v>1</v>
      </c>
      <c r="E491" s="2">
        <v>44465</v>
      </c>
      <c r="F491" s="3">
        <v>0.51947916666666671</v>
      </c>
      <c r="G491" s="2">
        <v>44470</v>
      </c>
      <c r="H491" s="3">
        <v>0.51896990740740745</v>
      </c>
      <c r="I491" t="s">
        <v>591</v>
      </c>
      <c r="J491" t="s">
        <v>595</v>
      </c>
      <c r="K491">
        <v>12</v>
      </c>
      <c r="L491">
        <v>12</v>
      </c>
      <c r="M491">
        <v>5</v>
      </c>
      <c r="N491">
        <v>441</v>
      </c>
    </row>
    <row r="492" spans="1:14" x14ac:dyDescent="0.3">
      <c r="A492">
        <v>491</v>
      </c>
      <c r="B492" t="s">
        <v>397</v>
      </c>
      <c r="C492">
        <v>30</v>
      </c>
      <c r="D492">
        <v>1</v>
      </c>
      <c r="E492" s="2">
        <v>44267</v>
      </c>
      <c r="F492" s="3">
        <v>0.26011574074074073</v>
      </c>
      <c r="G492" s="2">
        <v>44269</v>
      </c>
      <c r="H492" s="3">
        <v>0.95787037037037037</v>
      </c>
      <c r="I492" t="s">
        <v>437</v>
      </c>
      <c r="J492" t="s">
        <v>589</v>
      </c>
      <c r="K492">
        <v>6</v>
      </c>
      <c r="L492">
        <v>22</v>
      </c>
      <c r="M492">
        <v>2</v>
      </c>
      <c r="N492">
        <v>751</v>
      </c>
    </row>
    <row r="493" spans="1:14" x14ac:dyDescent="0.3">
      <c r="A493">
        <v>492</v>
      </c>
      <c r="B493" t="s">
        <v>211</v>
      </c>
      <c r="C493">
        <v>33</v>
      </c>
      <c r="D493">
        <v>2</v>
      </c>
      <c r="E493" s="2">
        <v>44325</v>
      </c>
      <c r="F493" s="3">
        <v>0.57945601851851847</v>
      </c>
      <c r="G493" s="2">
        <v>44327</v>
      </c>
      <c r="H493" s="3">
        <v>0.50315972222222227</v>
      </c>
      <c r="I493" t="s">
        <v>591</v>
      </c>
      <c r="J493" t="s">
        <v>593</v>
      </c>
      <c r="K493">
        <v>13</v>
      </c>
      <c r="L493">
        <v>12</v>
      </c>
      <c r="M493">
        <v>2</v>
      </c>
      <c r="N493">
        <v>314</v>
      </c>
    </row>
    <row r="494" spans="1:14" x14ac:dyDescent="0.3">
      <c r="A494">
        <v>493</v>
      </c>
      <c r="B494" t="s">
        <v>163</v>
      </c>
      <c r="C494">
        <v>11</v>
      </c>
      <c r="D494">
        <v>1</v>
      </c>
      <c r="E494" s="2">
        <v>44364</v>
      </c>
      <c r="F494" s="3">
        <v>0.92458333333333331</v>
      </c>
      <c r="G494" s="2">
        <v>44370</v>
      </c>
      <c r="H494" s="3">
        <v>0.65498842592592588</v>
      </c>
      <c r="I494" t="s">
        <v>591</v>
      </c>
      <c r="J494" t="s">
        <v>586</v>
      </c>
      <c r="K494">
        <v>22</v>
      </c>
      <c r="L494">
        <v>15</v>
      </c>
      <c r="M494">
        <v>6</v>
      </c>
      <c r="N494">
        <v>1096</v>
      </c>
    </row>
    <row r="495" spans="1:14" x14ac:dyDescent="0.3">
      <c r="A495">
        <v>494</v>
      </c>
      <c r="B495" t="s">
        <v>347</v>
      </c>
      <c r="C495">
        <v>7</v>
      </c>
      <c r="D495">
        <v>4</v>
      </c>
      <c r="E495" s="2">
        <v>44237</v>
      </c>
      <c r="F495" s="3">
        <v>0.13289351851851852</v>
      </c>
      <c r="G495" s="2">
        <v>44243</v>
      </c>
      <c r="H495" s="3">
        <v>0.79638888888888892</v>
      </c>
      <c r="I495" t="s">
        <v>433</v>
      </c>
      <c r="J495" t="s">
        <v>599</v>
      </c>
      <c r="K495">
        <v>3</v>
      </c>
      <c r="L495">
        <v>19</v>
      </c>
      <c r="M495">
        <v>6</v>
      </c>
      <c r="N495">
        <v>409</v>
      </c>
    </row>
    <row r="496" spans="1:14" x14ac:dyDescent="0.3">
      <c r="A496">
        <v>495</v>
      </c>
      <c r="B496" t="s">
        <v>49</v>
      </c>
      <c r="C496">
        <v>20</v>
      </c>
      <c r="D496">
        <v>1</v>
      </c>
      <c r="E496" s="2">
        <v>44227</v>
      </c>
      <c r="F496" s="3">
        <v>0.73783564814814817</v>
      </c>
      <c r="G496" s="2">
        <v>44233</v>
      </c>
      <c r="H496" s="3">
        <v>0.9524421296296296</v>
      </c>
      <c r="I496" t="s">
        <v>437</v>
      </c>
      <c r="J496" t="s">
        <v>598</v>
      </c>
      <c r="K496">
        <v>17</v>
      </c>
      <c r="L496">
        <v>22</v>
      </c>
      <c r="M496">
        <v>6</v>
      </c>
      <c r="N496">
        <v>697</v>
      </c>
    </row>
    <row r="497" spans="1:14" x14ac:dyDescent="0.3">
      <c r="A497">
        <v>496</v>
      </c>
      <c r="B497" t="s">
        <v>107</v>
      </c>
      <c r="C497">
        <v>11</v>
      </c>
      <c r="D497">
        <v>4</v>
      </c>
      <c r="E497" s="2">
        <v>44400</v>
      </c>
      <c r="F497" s="3">
        <v>0.60552083333333329</v>
      </c>
      <c r="G497" s="2">
        <v>44404</v>
      </c>
      <c r="H497" s="3">
        <v>0.54561342592592588</v>
      </c>
      <c r="I497" t="s">
        <v>591</v>
      </c>
      <c r="J497" t="s">
        <v>590</v>
      </c>
      <c r="K497">
        <v>14</v>
      </c>
      <c r="L497">
        <v>13</v>
      </c>
      <c r="M497">
        <v>4</v>
      </c>
      <c r="N497">
        <v>1096</v>
      </c>
    </row>
    <row r="498" spans="1:14" x14ac:dyDescent="0.3">
      <c r="A498">
        <v>497</v>
      </c>
      <c r="B498" t="s">
        <v>343</v>
      </c>
      <c r="C498">
        <v>64</v>
      </c>
      <c r="D498">
        <v>2</v>
      </c>
      <c r="E498" s="2">
        <v>44349</v>
      </c>
      <c r="F498" s="3">
        <v>0.8430671296296296</v>
      </c>
      <c r="G498" s="2">
        <v>44352</v>
      </c>
      <c r="H498" s="3">
        <v>0.19648148148148148</v>
      </c>
      <c r="I498" t="s">
        <v>429</v>
      </c>
      <c r="J498" t="s">
        <v>586</v>
      </c>
      <c r="K498">
        <v>20</v>
      </c>
      <c r="L498">
        <v>4</v>
      </c>
      <c r="M498">
        <v>3</v>
      </c>
      <c r="N498">
        <v>1878</v>
      </c>
    </row>
    <row r="499" spans="1:14" x14ac:dyDescent="0.3">
      <c r="A499">
        <v>498</v>
      </c>
      <c r="B499" t="s">
        <v>417</v>
      </c>
      <c r="C499">
        <v>19</v>
      </c>
      <c r="D499">
        <v>4</v>
      </c>
      <c r="E499" s="2">
        <v>44350</v>
      </c>
      <c r="F499" s="3">
        <v>0.8991203703703704</v>
      </c>
      <c r="G499" s="2">
        <v>44354</v>
      </c>
      <c r="H499" s="3">
        <v>0.88500000000000001</v>
      </c>
      <c r="I499" t="s">
        <v>591</v>
      </c>
      <c r="J499" t="s">
        <v>586</v>
      </c>
      <c r="K499">
        <v>21</v>
      </c>
      <c r="L499">
        <v>21</v>
      </c>
      <c r="M499">
        <v>4</v>
      </c>
      <c r="N499">
        <v>1234</v>
      </c>
    </row>
    <row r="500" spans="1:14" x14ac:dyDescent="0.3">
      <c r="A500">
        <v>499</v>
      </c>
      <c r="B500" t="s">
        <v>147</v>
      </c>
      <c r="C500">
        <v>59</v>
      </c>
      <c r="D500">
        <v>1</v>
      </c>
      <c r="E500" s="2">
        <v>44437</v>
      </c>
      <c r="F500" s="3">
        <v>0.50648148148148153</v>
      </c>
      <c r="G500" s="2">
        <v>44440</v>
      </c>
      <c r="H500" s="3">
        <v>0.41912037037037037</v>
      </c>
      <c r="I500" t="s">
        <v>429</v>
      </c>
      <c r="J500" t="s">
        <v>596</v>
      </c>
      <c r="K500">
        <v>12</v>
      </c>
      <c r="L500">
        <v>10</v>
      </c>
      <c r="M500">
        <v>3</v>
      </c>
      <c r="N500">
        <v>811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AE06E-D5F9-40B6-A505-121618929F73}">
  <dimension ref="A1:G101"/>
  <sheetViews>
    <sheetView workbookViewId="0">
      <selection activeCell="I17" sqref="I17"/>
    </sheetView>
  </sheetViews>
  <sheetFormatPr defaultRowHeight="14.4" x14ac:dyDescent="0.3"/>
  <cols>
    <col min="1" max="1" width="13.88671875" bestFit="1" customWidth="1"/>
    <col min="2" max="2" width="15" bestFit="1" customWidth="1"/>
    <col min="3" max="3" width="9.77734375" bestFit="1" customWidth="1"/>
    <col min="4" max="4" width="12" bestFit="1" customWidth="1"/>
    <col min="5" max="5" width="28.88671875" bestFit="1" customWidth="1"/>
    <col min="6" max="6" width="9.33203125" bestFit="1" customWidth="1"/>
    <col min="7" max="7" width="20.33203125" bestFit="1" customWidth="1"/>
  </cols>
  <sheetData>
    <row r="1" spans="1:7" x14ac:dyDescent="0.3">
      <c r="A1" t="s">
        <v>12</v>
      </c>
      <c r="B1" t="s">
        <v>0</v>
      </c>
      <c r="C1" t="s">
        <v>13</v>
      </c>
      <c r="D1" t="s">
        <v>14</v>
      </c>
      <c r="E1" t="s">
        <v>15</v>
      </c>
      <c r="F1" t="s">
        <v>16</v>
      </c>
      <c r="G1" t="s">
        <v>17</v>
      </c>
    </row>
    <row r="2" spans="1:7" x14ac:dyDescent="0.3">
      <c r="A2" t="s">
        <v>18</v>
      </c>
      <c r="B2" t="s">
        <v>19</v>
      </c>
      <c r="C2" t="s">
        <v>20</v>
      </c>
      <c r="D2">
        <v>923431321342</v>
      </c>
      <c r="E2" t="s">
        <v>21</v>
      </c>
      <c r="F2" t="s">
        <v>22</v>
      </c>
      <c r="G2" t="s">
        <v>23</v>
      </c>
    </row>
    <row r="3" spans="1:7" x14ac:dyDescent="0.3">
      <c r="A3" t="s">
        <v>24</v>
      </c>
      <c r="B3" t="s">
        <v>25</v>
      </c>
      <c r="C3" t="s">
        <v>26</v>
      </c>
      <c r="D3">
        <v>923619954880</v>
      </c>
      <c r="E3" t="s">
        <v>27</v>
      </c>
      <c r="F3" t="s">
        <v>28</v>
      </c>
      <c r="G3" t="s">
        <v>29</v>
      </c>
    </row>
    <row r="4" spans="1:7" x14ac:dyDescent="0.3">
      <c r="A4" t="s">
        <v>30</v>
      </c>
      <c r="B4" t="s">
        <v>31</v>
      </c>
      <c r="C4" t="s">
        <v>32</v>
      </c>
      <c r="D4">
        <v>923051850190</v>
      </c>
      <c r="E4" t="s">
        <v>33</v>
      </c>
      <c r="F4" t="s">
        <v>22</v>
      </c>
      <c r="G4" t="s">
        <v>34</v>
      </c>
    </row>
    <row r="5" spans="1:7" x14ac:dyDescent="0.3">
      <c r="A5" t="s">
        <v>35</v>
      </c>
      <c r="B5" t="s">
        <v>36</v>
      </c>
      <c r="C5" t="s">
        <v>37</v>
      </c>
      <c r="D5">
        <v>923131106607</v>
      </c>
      <c r="E5" t="s">
        <v>38</v>
      </c>
      <c r="F5" t="s">
        <v>28</v>
      </c>
      <c r="G5" t="s">
        <v>39</v>
      </c>
    </row>
    <row r="6" spans="1:7" x14ac:dyDescent="0.3">
      <c r="A6" t="s">
        <v>40</v>
      </c>
      <c r="B6" t="s">
        <v>41</v>
      </c>
      <c r="C6" t="s">
        <v>26</v>
      </c>
      <c r="D6">
        <v>923335496630</v>
      </c>
      <c r="E6" t="s">
        <v>42</v>
      </c>
      <c r="F6" t="s">
        <v>22</v>
      </c>
      <c r="G6" t="s">
        <v>43</v>
      </c>
    </row>
    <row r="7" spans="1:7" x14ac:dyDescent="0.3">
      <c r="A7" t="s">
        <v>44</v>
      </c>
      <c r="B7" t="s">
        <v>45</v>
      </c>
      <c r="C7" t="s">
        <v>46</v>
      </c>
      <c r="D7">
        <v>923239864123</v>
      </c>
      <c r="E7" t="s">
        <v>47</v>
      </c>
      <c r="F7" t="s">
        <v>28</v>
      </c>
      <c r="G7" t="s">
        <v>48</v>
      </c>
    </row>
    <row r="8" spans="1:7" x14ac:dyDescent="0.3">
      <c r="A8" t="s">
        <v>49</v>
      </c>
      <c r="B8" t="s">
        <v>50</v>
      </c>
      <c r="C8" t="s">
        <v>20</v>
      </c>
      <c r="D8">
        <v>923909275026</v>
      </c>
      <c r="E8" t="s">
        <v>51</v>
      </c>
      <c r="F8" t="s">
        <v>22</v>
      </c>
      <c r="G8" t="s">
        <v>52</v>
      </c>
    </row>
    <row r="9" spans="1:7" x14ac:dyDescent="0.3">
      <c r="A9" t="s">
        <v>53</v>
      </c>
      <c r="B9" t="s">
        <v>54</v>
      </c>
      <c r="C9" t="s">
        <v>55</v>
      </c>
      <c r="D9">
        <v>923567802526</v>
      </c>
      <c r="E9" t="s">
        <v>56</v>
      </c>
      <c r="F9" t="s">
        <v>28</v>
      </c>
      <c r="G9" t="s">
        <v>57</v>
      </c>
    </row>
    <row r="10" spans="1:7" x14ac:dyDescent="0.3">
      <c r="A10" t="s">
        <v>58</v>
      </c>
      <c r="B10" t="s">
        <v>59</v>
      </c>
      <c r="C10" t="s">
        <v>37</v>
      </c>
      <c r="D10">
        <v>923593291277</v>
      </c>
      <c r="E10" t="s">
        <v>60</v>
      </c>
      <c r="F10" t="s">
        <v>22</v>
      </c>
      <c r="G10" t="s">
        <v>61</v>
      </c>
    </row>
    <row r="11" spans="1:7" x14ac:dyDescent="0.3">
      <c r="A11" t="s">
        <v>62</v>
      </c>
      <c r="B11" t="s">
        <v>63</v>
      </c>
      <c r="C11" t="s">
        <v>37</v>
      </c>
      <c r="D11">
        <v>923983150136</v>
      </c>
      <c r="E11" t="s">
        <v>64</v>
      </c>
      <c r="F11" t="s">
        <v>28</v>
      </c>
      <c r="G11" t="s">
        <v>65</v>
      </c>
    </row>
    <row r="12" spans="1:7" x14ac:dyDescent="0.3">
      <c r="A12" t="s">
        <v>66</v>
      </c>
      <c r="B12" t="s">
        <v>67</v>
      </c>
      <c r="C12" t="s">
        <v>26</v>
      </c>
      <c r="D12">
        <v>923612675735</v>
      </c>
      <c r="E12" t="s">
        <v>68</v>
      </c>
      <c r="F12" t="s">
        <v>22</v>
      </c>
      <c r="G12" t="s">
        <v>69</v>
      </c>
    </row>
    <row r="13" spans="1:7" x14ac:dyDescent="0.3">
      <c r="A13" t="s">
        <v>70</v>
      </c>
      <c r="B13" t="s">
        <v>71</v>
      </c>
      <c r="C13" t="s">
        <v>46</v>
      </c>
      <c r="D13">
        <v>923918539226</v>
      </c>
      <c r="E13" t="s">
        <v>72</v>
      </c>
      <c r="F13" t="s">
        <v>28</v>
      </c>
      <c r="G13" t="s">
        <v>73</v>
      </c>
    </row>
    <row r="14" spans="1:7" x14ac:dyDescent="0.3">
      <c r="A14" t="s">
        <v>74</v>
      </c>
      <c r="B14" t="s">
        <v>75</v>
      </c>
      <c r="C14" t="s">
        <v>76</v>
      </c>
      <c r="D14">
        <v>923624978389</v>
      </c>
      <c r="E14" t="s">
        <v>77</v>
      </c>
      <c r="F14" t="s">
        <v>22</v>
      </c>
      <c r="G14" t="s">
        <v>78</v>
      </c>
    </row>
    <row r="15" spans="1:7" x14ac:dyDescent="0.3">
      <c r="A15" t="s">
        <v>79</v>
      </c>
      <c r="B15" t="s">
        <v>80</v>
      </c>
      <c r="C15" t="s">
        <v>55</v>
      </c>
      <c r="D15">
        <v>923858752779</v>
      </c>
      <c r="E15" t="s">
        <v>81</v>
      </c>
      <c r="F15" t="s">
        <v>28</v>
      </c>
      <c r="G15" t="s">
        <v>82</v>
      </c>
    </row>
    <row r="16" spans="1:7" x14ac:dyDescent="0.3">
      <c r="A16" t="s">
        <v>83</v>
      </c>
      <c r="B16" t="s">
        <v>67</v>
      </c>
      <c r="C16" t="s">
        <v>55</v>
      </c>
      <c r="D16">
        <v>923878214305</v>
      </c>
      <c r="E16" t="s">
        <v>84</v>
      </c>
      <c r="F16" t="s">
        <v>22</v>
      </c>
      <c r="G16" t="s">
        <v>85</v>
      </c>
    </row>
    <row r="17" spans="1:7" x14ac:dyDescent="0.3">
      <c r="A17" t="s">
        <v>86</v>
      </c>
      <c r="B17" t="s">
        <v>87</v>
      </c>
      <c r="C17" t="s">
        <v>88</v>
      </c>
      <c r="D17">
        <v>923737269061</v>
      </c>
      <c r="E17" t="s">
        <v>89</v>
      </c>
      <c r="F17" t="s">
        <v>28</v>
      </c>
      <c r="G17" t="s">
        <v>90</v>
      </c>
    </row>
    <row r="18" spans="1:7" x14ac:dyDescent="0.3">
      <c r="A18" t="s">
        <v>91</v>
      </c>
      <c r="B18" t="s">
        <v>92</v>
      </c>
      <c r="C18" t="s">
        <v>20</v>
      </c>
      <c r="D18">
        <v>923915355750</v>
      </c>
      <c r="E18" t="s">
        <v>93</v>
      </c>
      <c r="F18" t="s">
        <v>22</v>
      </c>
      <c r="G18" t="s">
        <v>94</v>
      </c>
    </row>
    <row r="19" spans="1:7" x14ac:dyDescent="0.3">
      <c r="A19" t="s">
        <v>95</v>
      </c>
      <c r="B19" t="s">
        <v>96</v>
      </c>
      <c r="C19" t="s">
        <v>76</v>
      </c>
      <c r="D19">
        <v>923691599622</v>
      </c>
      <c r="E19" t="s">
        <v>97</v>
      </c>
      <c r="F19" t="s">
        <v>28</v>
      </c>
      <c r="G19" t="s">
        <v>98</v>
      </c>
    </row>
    <row r="20" spans="1:7" x14ac:dyDescent="0.3">
      <c r="A20" t="s">
        <v>99</v>
      </c>
      <c r="B20" t="s">
        <v>100</v>
      </c>
      <c r="C20" t="s">
        <v>46</v>
      </c>
      <c r="D20">
        <v>923668617076</v>
      </c>
      <c r="E20" t="s">
        <v>101</v>
      </c>
      <c r="F20" t="s">
        <v>22</v>
      </c>
      <c r="G20" t="s">
        <v>102</v>
      </c>
    </row>
    <row r="21" spans="1:7" x14ac:dyDescent="0.3">
      <c r="A21" t="s">
        <v>103</v>
      </c>
      <c r="B21" t="s">
        <v>104</v>
      </c>
      <c r="C21" t="s">
        <v>88</v>
      </c>
      <c r="D21">
        <v>923232330031</v>
      </c>
      <c r="E21" t="s">
        <v>105</v>
      </c>
      <c r="F21" t="s">
        <v>28</v>
      </c>
      <c r="G21" t="s">
        <v>106</v>
      </c>
    </row>
    <row r="22" spans="1:7" x14ac:dyDescent="0.3">
      <c r="A22" t="s">
        <v>107</v>
      </c>
      <c r="B22" t="s">
        <v>108</v>
      </c>
      <c r="C22" t="s">
        <v>76</v>
      </c>
      <c r="D22">
        <v>923253624925</v>
      </c>
      <c r="E22" t="s">
        <v>109</v>
      </c>
      <c r="F22" t="s">
        <v>22</v>
      </c>
      <c r="G22" t="s">
        <v>110</v>
      </c>
    </row>
    <row r="23" spans="1:7" x14ac:dyDescent="0.3">
      <c r="A23" t="s">
        <v>111</v>
      </c>
      <c r="B23" t="s">
        <v>112</v>
      </c>
      <c r="C23" t="s">
        <v>20</v>
      </c>
      <c r="D23">
        <v>923091280679</v>
      </c>
      <c r="E23" t="s">
        <v>113</v>
      </c>
      <c r="F23" t="s">
        <v>28</v>
      </c>
      <c r="G23" t="s">
        <v>114</v>
      </c>
    </row>
    <row r="24" spans="1:7" x14ac:dyDescent="0.3">
      <c r="A24" t="s">
        <v>115</v>
      </c>
      <c r="B24" t="s">
        <v>116</v>
      </c>
      <c r="C24" t="s">
        <v>76</v>
      </c>
      <c r="D24">
        <v>923640185378</v>
      </c>
      <c r="E24" t="s">
        <v>117</v>
      </c>
      <c r="F24" t="s">
        <v>22</v>
      </c>
      <c r="G24" t="s">
        <v>118</v>
      </c>
    </row>
    <row r="25" spans="1:7" x14ac:dyDescent="0.3">
      <c r="A25" t="s">
        <v>119</v>
      </c>
      <c r="B25" t="s">
        <v>120</v>
      </c>
      <c r="C25" t="s">
        <v>32</v>
      </c>
      <c r="D25">
        <v>923592548199</v>
      </c>
      <c r="E25" t="s">
        <v>121</v>
      </c>
      <c r="F25" t="s">
        <v>28</v>
      </c>
      <c r="G25" t="s">
        <v>122</v>
      </c>
    </row>
    <row r="26" spans="1:7" x14ac:dyDescent="0.3">
      <c r="A26" t="s">
        <v>123</v>
      </c>
      <c r="B26" t="s">
        <v>124</v>
      </c>
      <c r="C26" t="s">
        <v>20</v>
      </c>
      <c r="D26">
        <v>923189034683</v>
      </c>
      <c r="E26" t="s">
        <v>125</v>
      </c>
      <c r="F26" t="s">
        <v>22</v>
      </c>
      <c r="G26" t="s">
        <v>126</v>
      </c>
    </row>
    <row r="27" spans="1:7" x14ac:dyDescent="0.3">
      <c r="A27" t="s">
        <v>127</v>
      </c>
      <c r="B27" t="s">
        <v>128</v>
      </c>
      <c r="C27" t="s">
        <v>88</v>
      </c>
      <c r="D27">
        <v>923717656644</v>
      </c>
      <c r="E27" t="s">
        <v>129</v>
      </c>
      <c r="F27" t="s">
        <v>28</v>
      </c>
      <c r="G27" t="s">
        <v>130</v>
      </c>
    </row>
    <row r="28" spans="1:7" x14ac:dyDescent="0.3">
      <c r="A28" t="s">
        <v>131</v>
      </c>
      <c r="B28" t="s">
        <v>132</v>
      </c>
      <c r="C28" t="s">
        <v>26</v>
      </c>
      <c r="D28">
        <v>923436819231</v>
      </c>
      <c r="E28" t="s">
        <v>133</v>
      </c>
      <c r="F28" t="s">
        <v>22</v>
      </c>
      <c r="G28" t="s">
        <v>134</v>
      </c>
    </row>
    <row r="29" spans="1:7" x14ac:dyDescent="0.3">
      <c r="A29" t="s">
        <v>135</v>
      </c>
      <c r="B29" t="s">
        <v>136</v>
      </c>
      <c r="C29" t="s">
        <v>46</v>
      </c>
      <c r="D29">
        <v>923539767182</v>
      </c>
      <c r="E29" t="s">
        <v>137</v>
      </c>
      <c r="F29" t="s">
        <v>28</v>
      </c>
      <c r="G29" t="s">
        <v>138</v>
      </c>
    </row>
    <row r="30" spans="1:7" x14ac:dyDescent="0.3">
      <c r="A30" t="s">
        <v>139</v>
      </c>
      <c r="B30" t="s">
        <v>140</v>
      </c>
      <c r="C30" t="s">
        <v>55</v>
      </c>
      <c r="D30">
        <v>923324453830</v>
      </c>
      <c r="E30" t="s">
        <v>141</v>
      </c>
      <c r="F30" t="s">
        <v>22</v>
      </c>
      <c r="G30" t="s">
        <v>142</v>
      </c>
    </row>
    <row r="31" spans="1:7" x14ac:dyDescent="0.3">
      <c r="A31" t="s">
        <v>143</v>
      </c>
      <c r="B31" t="s">
        <v>144</v>
      </c>
      <c r="C31" t="s">
        <v>88</v>
      </c>
      <c r="D31">
        <v>923877850401</v>
      </c>
      <c r="E31" t="s">
        <v>145</v>
      </c>
      <c r="F31" t="s">
        <v>28</v>
      </c>
      <c r="G31" t="s">
        <v>146</v>
      </c>
    </row>
    <row r="32" spans="1:7" x14ac:dyDescent="0.3">
      <c r="A32" t="s">
        <v>147</v>
      </c>
      <c r="B32" t="s">
        <v>148</v>
      </c>
      <c r="C32" t="s">
        <v>20</v>
      </c>
      <c r="D32">
        <v>923318999406</v>
      </c>
      <c r="E32" t="s">
        <v>149</v>
      </c>
      <c r="F32" t="s">
        <v>22</v>
      </c>
      <c r="G32" t="s">
        <v>150</v>
      </c>
    </row>
    <row r="33" spans="1:7" x14ac:dyDescent="0.3">
      <c r="A33" t="s">
        <v>151</v>
      </c>
      <c r="B33" t="s">
        <v>152</v>
      </c>
      <c r="C33" t="s">
        <v>37</v>
      </c>
      <c r="D33">
        <v>923349454625</v>
      </c>
      <c r="E33" t="s">
        <v>153</v>
      </c>
      <c r="F33" t="s">
        <v>28</v>
      </c>
      <c r="G33" t="s">
        <v>154</v>
      </c>
    </row>
    <row r="34" spans="1:7" x14ac:dyDescent="0.3">
      <c r="A34" t="s">
        <v>155</v>
      </c>
      <c r="B34" t="s">
        <v>156</v>
      </c>
      <c r="C34" t="s">
        <v>46</v>
      </c>
      <c r="D34">
        <v>923721842494</v>
      </c>
      <c r="E34" t="s">
        <v>157</v>
      </c>
      <c r="F34" t="s">
        <v>22</v>
      </c>
      <c r="G34" t="s">
        <v>158</v>
      </c>
    </row>
    <row r="35" spans="1:7" x14ac:dyDescent="0.3">
      <c r="A35" t="s">
        <v>159</v>
      </c>
      <c r="B35" t="s">
        <v>160</v>
      </c>
      <c r="C35" t="s">
        <v>76</v>
      </c>
      <c r="D35">
        <v>923994004065</v>
      </c>
      <c r="E35" t="s">
        <v>161</v>
      </c>
      <c r="F35" t="s">
        <v>28</v>
      </c>
      <c r="G35" t="s">
        <v>162</v>
      </c>
    </row>
    <row r="36" spans="1:7" x14ac:dyDescent="0.3">
      <c r="A36" t="s">
        <v>163</v>
      </c>
      <c r="B36" t="s">
        <v>164</v>
      </c>
      <c r="C36" t="s">
        <v>88</v>
      </c>
      <c r="D36">
        <v>923497049699</v>
      </c>
      <c r="E36" t="s">
        <v>165</v>
      </c>
      <c r="F36" t="s">
        <v>22</v>
      </c>
      <c r="G36" t="s">
        <v>166</v>
      </c>
    </row>
    <row r="37" spans="1:7" x14ac:dyDescent="0.3">
      <c r="A37" t="s">
        <v>167</v>
      </c>
      <c r="B37" t="s">
        <v>168</v>
      </c>
      <c r="C37" t="s">
        <v>26</v>
      </c>
      <c r="D37">
        <v>923316797568</v>
      </c>
      <c r="E37" t="s">
        <v>169</v>
      </c>
      <c r="F37" t="s">
        <v>28</v>
      </c>
      <c r="G37" t="s">
        <v>170</v>
      </c>
    </row>
    <row r="38" spans="1:7" x14ac:dyDescent="0.3">
      <c r="A38" t="s">
        <v>171</v>
      </c>
      <c r="B38" t="s">
        <v>172</v>
      </c>
      <c r="C38" t="s">
        <v>37</v>
      </c>
      <c r="D38">
        <v>923406846055</v>
      </c>
      <c r="E38" t="s">
        <v>173</v>
      </c>
      <c r="F38" t="s">
        <v>22</v>
      </c>
      <c r="G38" t="s">
        <v>174</v>
      </c>
    </row>
    <row r="39" spans="1:7" x14ac:dyDescent="0.3">
      <c r="A39" t="s">
        <v>175</v>
      </c>
      <c r="B39" t="s">
        <v>176</v>
      </c>
      <c r="C39" t="s">
        <v>55</v>
      </c>
      <c r="D39">
        <v>923514006610</v>
      </c>
      <c r="E39" t="s">
        <v>177</v>
      </c>
      <c r="F39" t="s">
        <v>28</v>
      </c>
      <c r="G39" t="s">
        <v>178</v>
      </c>
    </row>
    <row r="40" spans="1:7" x14ac:dyDescent="0.3">
      <c r="A40" t="s">
        <v>179</v>
      </c>
      <c r="B40" t="s">
        <v>180</v>
      </c>
      <c r="C40" t="s">
        <v>20</v>
      </c>
      <c r="D40">
        <v>923840612164</v>
      </c>
      <c r="E40" t="s">
        <v>181</v>
      </c>
      <c r="F40" t="s">
        <v>22</v>
      </c>
      <c r="G40" t="s">
        <v>182</v>
      </c>
    </row>
    <row r="41" spans="1:7" x14ac:dyDescent="0.3">
      <c r="A41" t="s">
        <v>183</v>
      </c>
      <c r="B41" t="s">
        <v>184</v>
      </c>
      <c r="C41" t="s">
        <v>37</v>
      </c>
      <c r="D41">
        <v>923154292050</v>
      </c>
      <c r="E41" t="s">
        <v>185</v>
      </c>
      <c r="F41" t="s">
        <v>28</v>
      </c>
      <c r="G41" t="s">
        <v>186</v>
      </c>
    </row>
    <row r="42" spans="1:7" x14ac:dyDescent="0.3">
      <c r="A42" t="s">
        <v>187</v>
      </c>
      <c r="B42" t="s">
        <v>188</v>
      </c>
      <c r="C42" t="s">
        <v>55</v>
      </c>
      <c r="D42">
        <v>923937694894</v>
      </c>
      <c r="E42" t="s">
        <v>189</v>
      </c>
      <c r="F42" t="s">
        <v>22</v>
      </c>
      <c r="G42" t="s">
        <v>190</v>
      </c>
    </row>
    <row r="43" spans="1:7" x14ac:dyDescent="0.3">
      <c r="A43" t="s">
        <v>191</v>
      </c>
      <c r="B43" t="s">
        <v>192</v>
      </c>
      <c r="C43" t="s">
        <v>46</v>
      </c>
      <c r="D43">
        <v>923783426020</v>
      </c>
      <c r="E43" t="s">
        <v>193</v>
      </c>
      <c r="F43" t="s">
        <v>28</v>
      </c>
      <c r="G43" t="s">
        <v>194</v>
      </c>
    </row>
    <row r="44" spans="1:7" x14ac:dyDescent="0.3">
      <c r="A44" t="s">
        <v>195</v>
      </c>
      <c r="B44" t="s">
        <v>196</v>
      </c>
      <c r="C44" t="s">
        <v>32</v>
      </c>
      <c r="D44">
        <v>923524788036</v>
      </c>
      <c r="E44" t="s">
        <v>197</v>
      </c>
      <c r="F44" t="s">
        <v>22</v>
      </c>
      <c r="G44" t="s">
        <v>198</v>
      </c>
    </row>
    <row r="45" spans="1:7" x14ac:dyDescent="0.3">
      <c r="A45" t="s">
        <v>199</v>
      </c>
      <c r="B45" t="s">
        <v>200</v>
      </c>
      <c r="C45" t="s">
        <v>76</v>
      </c>
      <c r="D45">
        <v>923424799176</v>
      </c>
      <c r="E45" t="s">
        <v>201</v>
      </c>
      <c r="F45" t="s">
        <v>28</v>
      </c>
      <c r="G45" t="s">
        <v>202</v>
      </c>
    </row>
    <row r="46" spans="1:7" x14ac:dyDescent="0.3">
      <c r="A46" t="s">
        <v>203</v>
      </c>
      <c r="B46" t="s">
        <v>204</v>
      </c>
      <c r="C46" t="s">
        <v>76</v>
      </c>
      <c r="D46">
        <v>923016287466</v>
      </c>
      <c r="E46" t="s">
        <v>205</v>
      </c>
      <c r="F46" t="s">
        <v>22</v>
      </c>
      <c r="G46" t="s">
        <v>206</v>
      </c>
    </row>
    <row r="47" spans="1:7" x14ac:dyDescent="0.3">
      <c r="A47" t="s">
        <v>207</v>
      </c>
      <c r="B47" t="s">
        <v>208</v>
      </c>
      <c r="C47" t="s">
        <v>32</v>
      </c>
      <c r="D47">
        <v>923227770017</v>
      </c>
      <c r="E47" t="s">
        <v>209</v>
      </c>
      <c r="F47" t="s">
        <v>28</v>
      </c>
      <c r="G47" t="s">
        <v>210</v>
      </c>
    </row>
    <row r="48" spans="1:7" x14ac:dyDescent="0.3">
      <c r="A48" t="s">
        <v>211</v>
      </c>
      <c r="B48" t="s">
        <v>212</v>
      </c>
      <c r="C48" t="s">
        <v>76</v>
      </c>
      <c r="D48">
        <v>923788256448</v>
      </c>
      <c r="E48" t="s">
        <v>213</v>
      </c>
      <c r="F48" t="s">
        <v>22</v>
      </c>
      <c r="G48" t="s">
        <v>214</v>
      </c>
    </row>
    <row r="49" spans="1:7" x14ac:dyDescent="0.3">
      <c r="A49" t="s">
        <v>215</v>
      </c>
      <c r="B49" t="s">
        <v>25</v>
      </c>
      <c r="C49" t="s">
        <v>32</v>
      </c>
      <c r="D49">
        <v>923495304960</v>
      </c>
      <c r="E49" t="s">
        <v>216</v>
      </c>
      <c r="F49" t="s">
        <v>28</v>
      </c>
      <c r="G49" t="s">
        <v>217</v>
      </c>
    </row>
    <row r="50" spans="1:7" x14ac:dyDescent="0.3">
      <c r="A50" t="s">
        <v>218</v>
      </c>
      <c r="B50" t="s">
        <v>219</v>
      </c>
      <c r="C50" t="s">
        <v>46</v>
      </c>
      <c r="D50">
        <v>923569614244</v>
      </c>
      <c r="E50" t="s">
        <v>220</v>
      </c>
      <c r="F50" t="s">
        <v>22</v>
      </c>
      <c r="G50" t="s">
        <v>221</v>
      </c>
    </row>
    <row r="51" spans="1:7" x14ac:dyDescent="0.3">
      <c r="A51" t="s">
        <v>222</v>
      </c>
      <c r="B51" t="s">
        <v>223</v>
      </c>
      <c r="C51" t="s">
        <v>55</v>
      </c>
      <c r="D51">
        <v>923000063843</v>
      </c>
      <c r="E51" t="s">
        <v>224</v>
      </c>
      <c r="F51" t="s">
        <v>28</v>
      </c>
      <c r="G51" t="s">
        <v>225</v>
      </c>
    </row>
    <row r="52" spans="1:7" x14ac:dyDescent="0.3">
      <c r="A52" t="s">
        <v>226</v>
      </c>
      <c r="B52" t="s">
        <v>227</v>
      </c>
      <c r="C52" t="s">
        <v>55</v>
      </c>
      <c r="D52">
        <v>923490984676</v>
      </c>
      <c r="E52" t="s">
        <v>228</v>
      </c>
      <c r="F52" t="s">
        <v>22</v>
      </c>
      <c r="G52" t="s">
        <v>229</v>
      </c>
    </row>
    <row r="53" spans="1:7" x14ac:dyDescent="0.3">
      <c r="A53" t="s">
        <v>230</v>
      </c>
      <c r="B53" t="s">
        <v>231</v>
      </c>
      <c r="C53" t="s">
        <v>55</v>
      </c>
      <c r="D53">
        <v>923776754504</v>
      </c>
      <c r="E53" t="s">
        <v>232</v>
      </c>
      <c r="F53" t="s">
        <v>28</v>
      </c>
      <c r="G53" t="s">
        <v>233</v>
      </c>
    </row>
    <row r="54" spans="1:7" x14ac:dyDescent="0.3">
      <c r="A54" t="s">
        <v>234</v>
      </c>
      <c r="B54" t="s">
        <v>235</v>
      </c>
      <c r="C54" t="s">
        <v>88</v>
      </c>
      <c r="D54">
        <v>923734530598</v>
      </c>
      <c r="E54" t="s">
        <v>236</v>
      </c>
      <c r="F54" t="s">
        <v>22</v>
      </c>
      <c r="G54" t="s">
        <v>237</v>
      </c>
    </row>
    <row r="55" spans="1:7" x14ac:dyDescent="0.3">
      <c r="A55" t="s">
        <v>238</v>
      </c>
      <c r="B55" t="s">
        <v>239</v>
      </c>
      <c r="C55" t="s">
        <v>37</v>
      </c>
      <c r="D55">
        <v>923084434850</v>
      </c>
      <c r="E55" t="s">
        <v>240</v>
      </c>
      <c r="F55" t="s">
        <v>28</v>
      </c>
      <c r="G55" t="s">
        <v>241</v>
      </c>
    </row>
    <row r="56" spans="1:7" x14ac:dyDescent="0.3">
      <c r="A56" t="s">
        <v>242</v>
      </c>
      <c r="B56" t="s">
        <v>243</v>
      </c>
      <c r="C56" t="s">
        <v>20</v>
      </c>
      <c r="D56">
        <v>923025885230</v>
      </c>
      <c r="E56" t="s">
        <v>244</v>
      </c>
      <c r="F56" t="s">
        <v>22</v>
      </c>
      <c r="G56" t="s">
        <v>245</v>
      </c>
    </row>
    <row r="57" spans="1:7" x14ac:dyDescent="0.3">
      <c r="A57" t="s">
        <v>246</v>
      </c>
      <c r="B57" t="s">
        <v>247</v>
      </c>
      <c r="C57" t="s">
        <v>76</v>
      </c>
      <c r="D57">
        <v>923141002764</v>
      </c>
      <c r="E57" t="s">
        <v>248</v>
      </c>
      <c r="F57" t="s">
        <v>28</v>
      </c>
      <c r="G57" t="s">
        <v>249</v>
      </c>
    </row>
    <row r="58" spans="1:7" x14ac:dyDescent="0.3">
      <c r="A58" t="s">
        <v>250</v>
      </c>
      <c r="B58" t="s">
        <v>227</v>
      </c>
      <c r="C58" t="s">
        <v>46</v>
      </c>
      <c r="D58">
        <v>923624999527</v>
      </c>
      <c r="E58" t="s">
        <v>251</v>
      </c>
      <c r="F58" t="s">
        <v>22</v>
      </c>
      <c r="G58" t="s">
        <v>252</v>
      </c>
    </row>
    <row r="59" spans="1:7" x14ac:dyDescent="0.3">
      <c r="A59" t="s">
        <v>253</v>
      </c>
      <c r="B59" t="s">
        <v>254</v>
      </c>
      <c r="C59" t="s">
        <v>26</v>
      </c>
      <c r="D59">
        <v>923527302872</v>
      </c>
      <c r="E59" t="s">
        <v>255</v>
      </c>
      <c r="F59" t="s">
        <v>28</v>
      </c>
      <c r="G59" t="s">
        <v>256</v>
      </c>
    </row>
    <row r="60" spans="1:7" x14ac:dyDescent="0.3">
      <c r="A60" t="s">
        <v>257</v>
      </c>
      <c r="B60" t="s">
        <v>258</v>
      </c>
      <c r="C60" t="s">
        <v>88</v>
      </c>
      <c r="D60">
        <v>923374417410</v>
      </c>
      <c r="E60" t="s">
        <v>259</v>
      </c>
      <c r="F60" t="s">
        <v>22</v>
      </c>
      <c r="G60" t="s">
        <v>260</v>
      </c>
    </row>
    <row r="61" spans="1:7" x14ac:dyDescent="0.3">
      <c r="A61" t="s">
        <v>261</v>
      </c>
      <c r="B61" t="s">
        <v>262</v>
      </c>
      <c r="C61" t="s">
        <v>46</v>
      </c>
      <c r="D61">
        <v>923721689267</v>
      </c>
      <c r="E61" t="s">
        <v>263</v>
      </c>
      <c r="F61" t="s">
        <v>28</v>
      </c>
      <c r="G61" t="s">
        <v>264</v>
      </c>
    </row>
    <row r="62" spans="1:7" x14ac:dyDescent="0.3">
      <c r="A62" t="s">
        <v>265</v>
      </c>
      <c r="B62" t="s">
        <v>266</v>
      </c>
      <c r="C62" t="s">
        <v>46</v>
      </c>
      <c r="D62">
        <v>923770474522</v>
      </c>
      <c r="E62" t="s">
        <v>267</v>
      </c>
      <c r="F62" t="s">
        <v>22</v>
      </c>
      <c r="G62" t="s">
        <v>268</v>
      </c>
    </row>
    <row r="63" spans="1:7" x14ac:dyDescent="0.3">
      <c r="A63" t="s">
        <v>269</v>
      </c>
      <c r="B63" t="s">
        <v>270</v>
      </c>
      <c r="C63" t="s">
        <v>88</v>
      </c>
      <c r="D63">
        <v>923933601029</v>
      </c>
      <c r="E63" t="s">
        <v>271</v>
      </c>
      <c r="F63" t="s">
        <v>28</v>
      </c>
      <c r="G63" t="s">
        <v>272</v>
      </c>
    </row>
    <row r="64" spans="1:7" x14ac:dyDescent="0.3">
      <c r="A64" t="s">
        <v>273</v>
      </c>
      <c r="B64" t="s">
        <v>274</v>
      </c>
      <c r="C64" t="s">
        <v>76</v>
      </c>
      <c r="D64">
        <v>923649391779</v>
      </c>
      <c r="E64" t="s">
        <v>275</v>
      </c>
      <c r="F64" t="s">
        <v>22</v>
      </c>
      <c r="G64" t="s">
        <v>276</v>
      </c>
    </row>
    <row r="65" spans="1:7" x14ac:dyDescent="0.3">
      <c r="A65" t="s">
        <v>277</v>
      </c>
      <c r="B65" t="s">
        <v>176</v>
      </c>
      <c r="C65" t="s">
        <v>26</v>
      </c>
      <c r="D65">
        <v>923013782932</v>
      </c>
      <c r="E65" t="s">
        <v>278</v>
      </c>
      <c r="F65" t="s">
        <v>28</v>
      </c>
      <c r="G65" t="s">
        <v>279</v>
      </c>
    </row>
    <row r="66" spans="1:7" x14ac:dyDescent="0.3">
      <c r="A66" t="s">
        <v>280</v>
      </c>
      <c r="B66" t="s">
        <v>281</v>
      </c>
      <c r="C66" t="s">
        <v>46</v>
      </c>
      <c r="D66">
        <v>923882807110</v>
      </c>
      <c r="E66" t="s">
        <v>282</v>
      </c>
      <c r="F66" t="s">
        <v>22</v>
      </c>
      <c r="G66" t="s">
        <v>283</v>
      </c>
    </row>
    <row r="67" spans="1:7" x14ac:dyDescent="0.3">
      <c r="A67" t="s">
        <v>284</v>
      </c>
      <c r="B67" t="s">
        <v>285</v>
      </c>
      <c r="C67" t="s">
        <v>32</v>
      </c>
      <c r="D67">
        <v>923494760956</v>
      </c>
      <c r="E67" t="s">
        <v>286</v>
      </c>
      <c r="F67" t="s">
        <v>28</v>
      </c>
      <c r="G67" t="s">
        <v>287</v>
      </c>
    </row>
    <row r="68" spans="1:7" x14ac:dyDescent="0.3">
      <c r="A68" t="s">
        <v>288</v>
      </c>
      <c r="B68" t="s">
        <v>289</v>
      </c>
      <c r="C68" t="s">
        <v>55</v>
      </c>
      <c r="D68">
        <v>923645248502</v>
      </c>
      <c r="E68" t="s">
        <v>290</v>
      </c>
      <c r="F68" t="s">
        <v>22</v>
      </c>
      <c r="G68" t="s">
        <v>291</v>
      </c>
    </row>
    <row r="69" spans="1:7" x14ac:dyDescent="0.3">
      <c r="A69" t="s">
        <v>292</v>
      </c>
      <c r="B69" t="s">
        <v>293</v>
      </c>
      <c r="C69" t="s">
        <v>46</v>
      </c>
      <c r="D69">
        <v>923695079046</v>
      </c>
      <c r="E69" t="s">
        <v>294</v>
      </c>
      <c r="F69" t="s">
        <v>28</v>
      </c>
      <c r="G69" t="s">
        <v>295</v>
      </c>
    </row>
    <row r="70" spans="1:7" x14ac:dyDescent="0.3">
      <c r="A70" t="s">
        <v>296</v>
      </c>
      <c r="B70" t="s">
        <v>297</v>
      </c>
      <c r="C70" t="s">
        <v>26</v>
      </c>
      <c r="D70">
        <v>923272037479</v>
      </c>
      <c r="E70" t="s">
        <v>298</v>
      </c>
      <c r="F70" t="s">
        <v>22</v>
      </c>
      <c r="G70" t="s">
        <v>299</v>
      </c>
    </row>
    <row r="71" spans="1:7" x14ac:dyDescent="0.3">
      <c r="A71" t="s">
        <v>300</v>
      </c>
      <c r="B71" t="s">
        <v>301</v>
      </c>
      <c r="C71" t="s">
        <v>20</v>
      </c>
      <c r="D71">
        <v>923135241157</v>
      </c>
      <c r="E71" t="s">
        <v>302</v>
      </c>
      <c r="F71" t="s">
        <v>28</v>
      </c>
      <c r="G71" t="s">
        <v>303</v>
      </c>
    </row>
    <row r="72" spans="1:7" x14ac:dyDescent="0.3">
      <c r="A72" t="s">
        <v>304</v>
      </c>
      <c r="B72" t="s">
        <v>305</v>
      </c>
      <c r="C72" t="s">
        <v>32</v>
      </c>
      <c r="D72">
        <v>923543486558</v>
      </c>
      <c r="E72" t="s">
        <v>306</v>
      </c>
      <c r="F72" t="s">
        <v>22</v>
      </c>
      <c r="G72" t="s">
        <v>307</v>
      </c>
    </row>
    <row r="73" spans="1:7" x14ac:dyDescent="0.3">
      <c r="A73" t="s">
        <v>308</v>
      </c>
      <c r="B73" t="s">
        <v>309</v>
      </c>
      <c r="C73" t="s">
        <v>55</v>
      </c>
      <c r="D73">
        <v>923931003702</v>
      </c>
      <c r="E73" t="s">
        <v>310</v>
      </c>
      <c r="F73" t="s">
        <v>28</v>
      </c>
      <c r="G73" t="s">
        <v>311</v>
      </c>
    </row>
    <row r="74" spans="1:7" x14ac:dyDescent="0.3">
      <c r="A74" t="s">
        <v>312</v>
      </c>
      <c r="B74" t="s">
        <v>313</v>
      </c>
      <c r="C74" t="s">
        <v>37</v>
      </c>
      <c r="D74">
        <v>923684260687</v>
      </c>
      <c r="E74" t="s">
        <v>314</v>
      </c>
      <c r="F74" t="s">
        <v>22</v>
      </c>
      <c r="G74" t="s">
        <v>315</v>
      </c>
    </row>
    <row r="75" spans="1:7" x14ac:dyDescent="0.3">
      <c r="A75" t="s">
        <v>316</v>
      </c>
      <c r="B75" t="s">
        <v>317</v>
      </c>
      <c r="C75" t="s">
        <v>88</v>
      </c>
      <c r="D75">
        <v>923469658937</v>
      </c>
      <c r="E75" t="s">
        <v>318</v>
      </c>
      <c r="F75" t="s">
        <v>28</v>
      </c>
      <c r="G75" t="s">
        <v>319</v>
      </c>
    </row>
    <row r="76" spans="1:7" x14ac:dyDescent="0.3">
      <c r="A76" t="s">
        <v>320</v>
      </c>
      <c r="B76" t="s">
        <v>321</v>
      </c>
      <c r="C76" t="s">
        <v>20</v>
      </c>
      <c r="D76">
        <v>923460880287</v>
      </c>
      <c r="E76" t="s">
        <v>322</v>
      </c>
      <c r="F76" t="s">
        <v>22</v>
      </c>
      <c r="G76" t="s">
        <v>323</v>
      </c>
    </row>
    <row r="77" spans="1:7" x14ac:dyDescent="0.3">
      <c r="A77" t="s">
        <v>324</v>
      </c>
      <c r="B77" t="s">
        <v>325</v>
      </c>
      <c r="C77" t="s">
        <v>46</v>
      </c>
      <c r="D77">
        <v>923939345012</v>
      </c>
      <c r="E77" t="s">
        <v>326</v>
      </c>
      <c r="F77" t="s">
        <v>28</v>
      </c>
      <c r="G77" t="s">
        <v>327</v>
      </c>
    </row>
    <row r="78" spans="1:7" x14ac:dyDescent="0.3">
      <c r="A78" t="s">
        <v>328</v>
      </c>
      <c r="B78" t="s">
        <v>329</v>
      </c>
      <c r="C78" t="s">
        <v>76</v>
      </c>
      <c r="D78">
        <v>923805815488</v>
      </c>
      <c r="E78" t="s">
        <v>330</v>
      </c>
      <c r="F78" t="s">
        <v>22</v>
      </c>
      <c r="G78" t="s">
        <v>331</v>
      </c>
    </row>
    <row r="79" spans="1:7" x14ac:dyDescent="0.3">
      <c r="A79" t="s">
        <v>332</v>
      </c>
      <c r="B79" t="s">
        <v>333</v>
      </c>
      <c r="C79" t="s">
        <v>55</v>
      </c>
      <c r="D79">
        <v>923554636611</v>
      </c>
      <c r="E79" t="s">
        <v>334</v>
      </c>
      <c r="F79" t="s">
        <v>28</v>
      </c>
      <c r="G79" t="s">
        <v>335</v>
      </c>
    </row>
    <row r="80" spans="1:7" x14ac:dyDescent="0.3">
      <c r="A80" t="s">
        <v>336</v>
      </c>
      <c r="B80" t="s">
        <v>313</v>
      </c>
      <c r="C80" t="s">
        <v>20</v>
      </c>
      <c r="D80">
        <v>923848897824</v>
      </c>
      <c r="E80" t="s">
        <v>337</v>
      </c>
      <c r="F80" t="s">
        <v>22</v>
      </c>
      <c r="G80" t="s">
        <v>338</v>
      </c>
    </row>
    <row r="81" spans="1:7" x14ac:dyDescent="0.3">
      <c r="A81" t="s">
        <v>339</v>
      </c>
      <c r="B81" t="s">
        <v>340</v>
      </c>
      <c r="C81" t="s">
        <v>26</v>
      </c>
      <c r="D81">
        <v>923251434366</v>
      </c>
      <c r="E81" t="s">
        <v>341</v>
      </c>
      <c r="F81" t="s">
        <v>28</v>
      </c>
      <c r="G81" t="s">
        <v>342</v>
      </c>
    </row>
    <row r="82" spans="1:7" x14ac:dyDescent="0.3">
      <c r="A82" t="s">
        <v>343</v>
      </c>
      <c r="B82" t="s">
        <v>344</v>
      </c>
      <c r="C82" t="s">
        <v>55</v>
      </c>
      <c r="D82">
        <v>923721913995</v>
      </c>
      <c r="E82" t="s">
        <v>345</v>
      </c>
      <c r="F82" t="s">
        <v>22</v>
      </c>
      <c r="G82" t="s">
        <v>346</v>
      </c>
    </row>
    <row r="83" spans="1:7" x14ac:dyDescent="0.3">
      <c r="A83" t="s">
        <v>347</v>
      </c>
      <c r="B83" t="s">
        <v>348</v>
      </c>
      <c r="C83" t="s">
        <v>32</v>
      </c>
      <c r="D83">
        <v>923931556631</v>
      </c>
      <c r="E83" t="s">
        <v>349</v>
      </c>
      <c r="F83" t="s">
        <v>28</v>
      </c>
      <c r="G83" t="s">
        <v>350</v>
      </c>
    </row>
    <row r="84" spans="1:7" x14ac:dyDescent="0.3">
      <c r="A84" t="s">
        <v>351</v>
      </c>
      <c r="B84" t="s">
        <v>352</v>
      </c>
      <c r="C84" t="s">
        <v>88</v>
      </c>
      <c r="D84">
        <v>923334651424</v>
      </c>
      <c r="E84" t="s">
        <v>353</v>
      </c>
      <c r="F84" t="s">
        <v>22</v>
      </c>
      <c r="G84" t="s">
        <v>354</v>
      </c>
    </row>
    <row r="85" spans="1:7" x14ac:dyDescent="0.3">
      <c r="A85" t="s">
        <v>355</v>
      </c>
      <c r="B85" t="s">
        <v>356</v>
      </c>
      <c r="C85" t="s">
        <v>76</v>
      </c>
      <c r="D85">
        <v>923558108695</v>
      </c>
      <c r="E85" t="s">
        <v>357</v>
      </c>
      <c r="F85" t="s">
        <v>28</v>
      </c>
      <c r="G85" t="s">
        <v>358</v>
      </c>
    </row>
    <row r="86" spans="1:7" x14ac:dyDescent="0.3">
      <c r="A86" t="s">
        <v>359</v>
      </c>
      <c r="B86" t="s">
        <v>360</v>
      </c>
      <c r="C86" t="s">
        <v>32</v>
      </c>
      <c r="D86">
        <v>923624443046</v>
      </c>
      <c r="E86" t="s">
        <v>361</v>
      </c>
      <c r="F86" t="s">
        <v>22</v>
      </c>
      <c r="G86" t="s">
        <v>362</v>
      </c>
    </row>
    <row r="87" spans="1:7" x14ac:dyDescent="0.3">
      <c r="A87" t="s">
        <v>363</v>
      </c>
      <c r="B87" t="s">
        <v>364</v>
      </c>
      <c r="C87" t="s">
        <v>37</v>
      </c>
      <c r="D87">
        <v>923590818473</v>
      </c>
      <c r="E87" t="s">
        <v>365</v>
      </c>
      <c r="F87" t="s">
        <v>28</v>
      </c>
      <c r="G87" t="s">
        <v>366</v>
      </c>
    </row>
    <row r="88" spans="1:7" x14ac:dyDescent="0.3">
      <c r="A88" t="s">
        <v>367</v>
      </c>
      <c r="B88" t="s">
        <v>368</v>
      </c>
      <c r="C88" t="s">
        <v>26</v>
      </c>
      <c r="D88">
        <v>923489559189</v>
      </c>
      <c r="E88" t="s">
        <v>369</v>
      </c>
      <c r="F88" t="s">
        <v>22</v>
      </c>
      <c r="G88" t="s">
        <v>370</v>
      </c>
    </row>
    <row r="89" spans="1:7" x14ac:dyDescent="0.3">
      <c r="A89" t="s">
        <v>371</v>
      </c>
      <c r="B89" t="s">
        <v>372</v>
      </c>
      <c r="C89" t="s">
        <v>26</v>
      </c>
      <c r="D89">
        <v>923232952541</v>
      </c>
      <c r="E89" t="s">
        <v>373</v>
      </c>
      <c r="F89" t="s">
        <v>28</v>
      </c>
      <c r="G89" t="s">
        <v>374</v>
      </c>
    </row>
    <row r="90" spans="1:7" x14ac:dyDescent="0.3">
      <c r="A90" t="s">
        <v>375</v>
      </c>
      <c r="B90" t="s">
        <v>196</v>
      </c>
      <c r="C90" t="s">
        <v>76</v>
      </c>
      <c r="D90">
        <v>923342722521</v>
      </c>
      <c r="E90" t="s">
        <v>376</v>
      </c>
      <c r="F90" t="s">
        <v>22</v>
      </c>
      <c r="G90" t="s">
        <v>377</v>
      </c>
    </row>
    <row r="91" spans="1:7" x14ac:dyDescent="0.3">
      <c r="A91" t="s">
        <v>378</v>
      </c>
      <c r="B91" t="s">
        <v>379</v>
      </c>
      <c r="C91" t="s">
        <v>46</v>
      </c>
      <c r="D91">
        <v>923859234306</v>
      </c>
      <c r="E91" t="s">
        <v>380</v>
      </c>
      <c r="F91" t="s">
        <v>28</v>
      </c>
      <c r="G91" t="s">
        <v>381</v>
      </c>
    </row>
    <row r="92" spans="1:7" x14ac:dyDescent="0.3">
      <c r="A92" t="s">
        <v>382</v>
      </c>
      <c r="B92" t="s">
        <v>383</v>
      </c>
      <c r="C92" t="s">
        <v>55</v>
      </c>
      <c r="D92">
        <v>923730677294</v>
      </c>
      <c r="E92" t="s">
        <v>384</v>
      </c>
      <c r="F92" t="s">
        <v>22</v>
      </c>
      <c r="G92" t="s">
        <v>385</v>
      </c>
    </row>
    <row r="93" spans="1:7" x14ac:dyDescent="0.3">
      <c r="A93" t="s">
        <v>386</v>
      </c>
      <c r="B93" t="s">
        <v>387</v>
      </c>
      <c r="C93" t="s">
        <v>26</v>
      </c>
      <c r="D93">
        <v>923888197126</v>
      </c>
      <c r="E93" t="s">
        <v>388</v>
      </c>
      <c r="F93" t="s">
        <v>28</v>
      </c>
      <c r="G93" t="s">
        <v>389</v>
      </c>
    </row>
    <row r="94" spans="1:7" x14ac:dyDescent="0.3">
      <c r="A94" t="s">
        <v>390</v>
      </c>
      <c r="B94" t="s">
        <v>391</v>
      </c>
      <c r="C94" t="s">
        <v>37</v>
      </c>
      <c r="D94">
        <v>923453572835</v>
      </c>
      <c r="E94" t="s">
        <v>392</v>
      </c>
      <c r="F94" t="s">
        <v>22</v>
      </c>
      <c r="G94" t="s">
        <v>393</v>
      </c>
    </row>
    <row r="95" spans="1:7" x14ac:dyDescent="0.3">
      <c r="A95" t="s">
        <v>394</v>
      </c>
      <c r="B95" t="s">
        <v>87</v>
      </c>
      <c r="C95" t="s">
        <v>76</v>
      </c>
      <c r="D95">
        <v>923190996372</v>
      </c>
      <c r="E95" t="s">
        <v>395</v>
      </c>
      <c r="F95" t="s">
        <v>28</v>
      </c>
      <c r="G95" t="s">
        <v>396</v>
      </c>
    </row>
    <row r="96" spans="1:7" x14ac:dyDescent="0.3">
      <c r="A96" t="s">
        <v>397</v>
      </c>
      <c r="B96" t="s">
        <v>398</v>
      </c>
      <c r="C96" t="s">
        <v>88</v>
      </c>
      <c r="D96">
        <v>923692042361</v>
      </c>
      <c r="E96" t="s">
        <v>399</v>
      </c>
      <c r="F96" t="s">
        <v>22</v>
      </c>
      <c r="G96" t="s">
        <v>400</v>
      </c>
    </row>
    <row r="97" spans="1:7" x14ac:dyDescent="0.3">
      <c r="A97" t="s">
        <v>401</v>
      </c>
      <c r="B97" t="s">
        <v>402</v>
      </c>
      <c r="C97" t="s">
        <v>32</v>
      </c>
      <c r="D97">
        <v>923172845729</v>
      </c>
      <c r="E97" t="s">
        <v>403</v>
      </c>
      <c r="F97" t="s">
        <v>28</v>
      </c>
      <c r="G97" t="s">
        <v>404</v>
      </c>
    </row>
    <row r="98" spans="1:7" x14ac:dyDescent="0.3">
      <c r="A98" t="s">
        <v>405</v>
      </c>
      <c r="B98" t="s">
        <v>406</v>
      </c>
      <c r="C98" t="s">
        <v>76</v>
      </c>
      <c r="D98">
        <v>923322987242</v>
      </c>
      <c r="E98" t="s">
        <v>407</v>
      </c>
      <c r="F98" t="s">
        <v>22</v>
      </c>
      <c r="G98" t="s">
        <v>408</v>
      </c>
    </row>
    <row r="99" spans="1:7" x14ac:dyDescent="0.3">
      <c r="A99" t="s">
        <v>409</v>
      </c>
      <c r="B99" t="s">
        <v>410</v>
      </c>
      <c r="C99" t="s">
        <v>46</v>
      </c>
      <c r="D99">
        <v>923871451386</v>
      </c>
      <c r="E99" t="s">
        <v>411</v>
      </c>
      <c r="F99" t="s">
        <v>28</v>
      </c>
      <c r="G99" t="s">
        <v>412</v>
      </c>
    </row>
    <row r="100" spans="1:7" x14ac:dyDescent="0.3">
      <c r="A100" t="s">
        <v>413</v>
      </c>
      <c r="B100" t="s">
        <v>414</v>
      </c>
      <c r="C100" t="s">
        <v>37</v>
      </c>
      <c r="D100">
        <v>923833093868</v>
      </c>
      <c r="E100" t="s">
        <v>415</v>
      </c>
      <c r="F100" t="s">
        <v>22</v>
      </c>
      <c r="G100" t="s">
        <v>416</v>
      </c>
    </row>
    <row r="101" spans="1:7" x14ac:dyDescent="0.3">
      <c r="A101" t="s">
        <v>417</v>
      </c>
      <c r="B101" t="s">
        <v>200</v>
      </c>
      <c r="C101" t="s">
        <v>88</v>
      </c>
      <c r="D101">
        <v>923932255576</v>
      </c>
      <c r="E101" t="s">
        <v>418</v>
      </c>
      <c r="F101" t="s">
        <v>28</v>
      </c>
      <c r="G101" t="s">
        <v>419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798D6-D1B3-4010-B296-125DA9E58FA1}">
  <dimension ref="A1:F4"/>
  <sheetViews>
    <sheetView workbookViewId="0">
      <selection activeCell="A2" sqref="A2"/>
    </sheetView>
  </sheetViews>
  <sheetFormatPr defaultRowHeight="14.4" x14ac:dyDescent="0.3"/>
  <cols>
    <col min="1" max="1" width="28.21875" bestFit="1" customWidth="1"/>
    <col min="2" max="2" width="11.21875" bestFit="1" customWidth="1"/>
    <col min="3" max="3" width="15.44140625" bestFit="1" customWidth="1"/>
    <col min="4" max="4" width="15" bestFit="1" customWidth="1"/>
    <col min="5" max="5" width="14.33203125" bestFit="1" customWidth="1"/>
    <col min="6" max="6" width="36.44140625" bestFit="1" customWidth="1"/>
  </cols>
  <sheetData>
    <row r="1" spans="1:6" x14ac:dyDescent="0.3">
      <c r="A1" t="s">
        <v>0</v>
      </c>
      <c r="B1" t="s">
        <v>1</v>
      </c>
      <c r="C1" t="s">
        <v>2</v>
      </c>
      <c r="D1" t="s">
        <v>3</v>
      </c>
      <c r="E1" t="s">
        <v>4</v>
      </c>
      <c r="F1" t="s">
        <v>5</v>
      </c>
    </row>
    <row r="2" spans="1:6" x14ac:dyDescent="0.3">
      <c r="A2" t="s">
        <v>6</v>
      </c>
      <c r="B2" t="s">
        <v>7</v>
      </c>
      <c r="C2" s="1">
        <v>46156.933187407405</v>
      </c>
      <c r="D2" s="1">
        <v>46156.890134965281</v>
      </c>
      <c r="E2" s="1">
        <v>46156.885944386573</v>
      </c>
      <c r="F2" t="s">
        <v>8</v>
      </c>
    </row>
    <row r="3" spans="1:6" x14ac:dyDescent="0.3">
      <c r="A3" t="s">
        <v>9</v>
      </c>
      <c r="B3" t="s">
        <v>10</v>
      </c>
      <c r="C3" s="1">
        <v>46156.929897800925</v>
      </c>
      <c r="D3" s="1">
        <v>46156.887164942127</v>
      </c>
      <c r="E3" s="1">
        <v>46156.887164722219</v>
      </c>
      <c r="F3" t="s">
        <v>8</v>
      </c>
    </row>
    <row r="4" spans="1:6" x14ac:dyDescent="0.3">
      <c r="A4" t="s">
        <v>11</v>
      </c>
      <c r="B4" t="s">
        <v>7</v>
      </c>
      <c r="C4" s="1">
        <v>46156.934694074072</v>
      </c>
      <c r="D4" s="1">
        <v>46156.887788518521</v>
      </c>
      <c r="E4" s="1">
        <v>46156.88778837963</v>
      </c>
      <c r="F4"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17611-B8AC-4F55-B07F-5AB897EFE43E}">
  <dimension ref="B10:L41"/>
  <sheetViews>
    <sheetView topLeftCell="A6" workbookViewId="0">
      <selection activeCell="E10" sqref="E10:G11"/>
    </sheetView>
  </sheetViews>
  <sheetFormatPr defaultRowHeight="14.4" x14ac:dyDescent="0.3"/>
  <cols>
    <col min="2" max="2" width="12.44140625" bestFit="1" customWidth="1"/>
    <col min="3" max="4" width="14.109375" bestFit="1" customWidth="1"/>
    <col min="5" max="5" width="16.88671875" bestFit="1" customWidth="1"/>
    <col min="6" max="6" width="25.77734375" bestFit="1" customWidth="1"/>
    <col min="7" max="7" width="15.5546875" bestFit="1" customWidth="1"/>
    <col min="8" max="8" width="14.44140625" bestFit="1" customWidth="1"/>
    <col min="9" max="9" width="12.44140625" bestFit="1" customWidth="1"/>
    <col min="10" max="10" width="14.109375" bestFit="1" customWidth="1"/>
    <col min="11" max="13" width="7" bestFit="1" customWidth="1"/>
    <col min="14" max="14" width="6" bestFit="1" customWidth="1"/>
    <col min="15" max="21" width="7" bestFit="1" customWidth="1"/>
    <col min="22" max="23" width="10.5546875" bestFit="1" customWidth="1"/>
    <col min="24" max="32" width="8.33203125" bestFit="1" customWidth="1"/>
    <col min="33" max="47" width="9.33203125" bestFit="1" customWidth="1"/>
    <col min="48" max="54" width="8.33203125" bestFit="1" customWidth="1"/>
    <col min="55" max="72" width="9.33203125" bestFit="1" customWidth="1"/>
    <col min="73" max="75" width="8.33203125" bestFit="1" customWidth="1"/>
    <col min="76" max="95" width="9.33203125" bestFit="1" customWidth="1"/>
    <col min="96" max="99" width="8.33203125" bestFit="1" customWidth="1"/>
    <col min="100" max="109" width="9.33203125" bestFit="1" customWidth="1"/>
    <col min="110" max="114" width="8.33203125" bestFit="1" customWidth="1"/>
    <col min="115" max="131" width="9.33203125" bestFit="1" customWidth="1"/>
    <col min="132" max="135" width="8.33203125" bestFit="1" customWidth="1"/>
    <col min="136" max="154" width="9.33203125" bestFit="1" customWidth="1"/>
    <col min="155" max="160" width="8.33203125" bestFit="1" customWidth="1"/>
    <col min="161" max="177" width="9.33203125" bestFit="1" customWidth="1"/>
    <col min="178" max="186" width="8.33203125" bestFit="1" customWidth="1"/>
    <col min="187" max="210" width="9.33203125" bestFit="1" customWidth="1"/>
    <col min="211" max="225" width="10.33203125" bestFit="1" customWidth="1"/>
    <col min="226" max="231" width="9.33203125" bestFit="1" customWidth="1"/>
    <col min="232" max="246" width="10.33203125" bestFit="1" customWidth="1"/>
    <col min="247" max="250" width="9.33203125" bestFit="1" customWidth="1"/>
    <col min="251" max="267" width="10.33203125" bestFit="1" customWidth="1"/>
    <col min="268" max="274" width="8.33203125" bestFit="1" customWidth="1"/>
    <col min="275" max="276" width="9.33203125" bestFit="1" customWidth="1"/>
    <col min="277" max="277" width="10.5546875" bestFit="1" customWidth="1"/>
    <col min="278" max="458" width="11.6640625" bestFit="1" customWidth="1"/>
    <col min="459" max="507" width="12.6640625" bestFit="1" customWidth="1"/>
    <col min="508" max="509" width="10.5546875" bestFit="1" customWidth="1"/>
  </cols>
  <sheetData>
    <row r="10" spans="2:7" x14ac:dyDescent="0.3">
      <c r="B10" s="4" t="s">
        <v>600</v>
      </c>
      <c r="C10" t="s">
        <v>602</v>
      </c>
      <c r="E10" t="s">
        <v>604</v>
      </c>
      <c r="F10" t="s">
        <v>603</v>
      </c>
      <c r="G10" s="9" t="s">
        <v>602</v>
      </c>
    </row>
    <row r="11" spans="2:7" x14ac:dyDescent="0.3">
      <c r="B11" s="6" t="s">
        <v>598</v>
      </c>
      <c r="C11" s="7">
        <v>9181</v>
      </c>
      <c r="E11" s="8">
        <v>2715.9166666666665</v>
      </c>
      <c r="F11">
        <v>4.416666666666667</v>
      </c>
      <c r="G11" s="7">
        <v>1657317</v>
      </c>
    </row>
    <row r="12" spans="2:7" x14ac:dyDescent="0.3">
      <c r="B12" s="6" t="s">
        <v>588</v>
      </c>
      <c r="C12" s="7">
        <v>23410</v>
      </c>
    </row>
    <row r="13" spans="2:7" x14ac:dyDescent="0.3">
      <c r="B13" s="5" t="s">
        <v>601</v>
      </c>
      <c r="C13" s="7">
        <v>32591</v>
      </c>
    </row>
    <row r="15" spans="2:7" x14ac:dyDescent="0.3">
      <c r="B15" s="4" t="s">
        <v>600</v>
      </c>
      <c r="C15" t="s">
        <v>602</v>
      </c>
    </row>
    <row r="16" spans="2:7" x14ac:dyDescent="0.3">
      <c r="B16" s="5" t="s">
        <v>462</v>
      </c>
      <c r="C16" s="7">
        <v>44045</v>
      </c>
    </row>
    <row r="17" spans="2:12" x14ac:dyDescent="0.3">
      <c r="B17" s="5" t="s">
        <v>529</v>
      </c>
      <c r="C17" s="7">
        <v>49140</v>
      </c>
    </row>
    <row r="18" spans="2:12" x14ac:dyDescent="0.3">
      <c r="B18" s="5" t="s">
        <v>505</v>
      </c>
      <c r="C18" s="7">
        <v>46625</v>
      </c>
    </row>
    <row r="19" spans="2:12" x14ac:dyDescent="0.3">
      <c r="B19" s="5" t="s">
        <v>444</v>
      </c>
      <c r="C19" s="7">
        <v>34472</v>
      </c>
    </row>
    <row r="20" spans="2:12" x14ac:dyDescent="0.3">
      <c r="B20" s="5" t="s">
        <v>558</v>
      </c>
      <c r="C20" s="7">
        <v>35256</v>
      </c>
      <c r="J20">
        <f>CORREL(Order[Quantity],Order[Diff_order_delivary])</f>
        <v>9.042408377022626E-2</v>
      </c>
      <c r="L20">
        <v>499</v>
      </c>
    </row>
    <row r="21" spans="2:12" x14ac:dyDescent="0.3">
      <c r="B21" s="5" t="s">
        <v>601</v>
      </c>
      <c r="C21" s="7">
        <v>209538</v>
      </c>
    </row>
    <row r="23" spans="2:12" x14ac:dyDescent="0.3">
      <c r="B23" s="4" t="s">
        <v>600</v>
      </c>
      <c r="C23" t="s">
        <v>602</v>
      </c>
    </row>
    <row r="24" spans="2:12" x14ac:dyDescent="0.3">
      <c r="B24" s="5" t="s">
        <v>445</v>
      </c>
      <c r="C24" s="7">
        <v>6261</v>
      </c>
      <c r="I24" s="4" t="s">
        <v>600</v>
      </c>
      <c r="J24" t="s">
        <v>602</v>
      </c>
    </row>
    <row r="25" spans="2:12" x14ac:dyDescent="0.3">
      <c r="B25" s="5" t="s">
        <v>435</v>
      </c>
      <c r="C25" s="7">
        <v>17928</v>
      </c>
      <c r="F25" s="4" t="s">
        <v>600</v>
      </c>
      <c r="G25" t="s">
        <v>602</v>
      </c>
      <c r="I25" s="5" t="s">
        <v>606</v>
      </c>
      <c r="J25" s="7">
        <v>518</v>
      </c>
    </row>
    <row r="26" spans="2:12" x14ac:dyDescent="0.3">
      <c r="B26" s="5" t="s">
        <v>431</v>
      </c>
      <c r="C26" s="7">
        <v>6670</v>
      </c>
      <c r="F26" s="5" t="s">
        <v>462</v>
      </c>
      <c r="G26" s="7">
        <v>44045</v>
      </c>
      <c r="I26" s="5" t="s">
        <v>608</v>
      </c>
      <c r="J26" s="7">
        <v>4914</v>
      </c>
    </row>
    <row r="27" spans="2:12" x14ac:dyDescent="0.3">
      <c r="B27" s="5" t="s">
        <v>439</v>
      </c>
      <c r="C27" s="7">
        <v>1732</v>
      </c>
      <c r="F27" s="5" t="s">
        <v>529</v>
      </c>
      <c r="G27" s="7">
        <v>49140</v>
      </c>
      <c r="I27" s="5" t="s">
        <v>611</v>
      </c>
      <c r="J27" s="7">
        <v>1295</v>
      </c>
    </row>
    <row r="28" spans="2:12" x14ac:dyDescent="0.3">
      <c r="B28" s="5" t="s">
        <v>601</v>
      </c>
      <c r="C28" s="7">
        <v>32591</v>
      </c>
      <c r="F28" s="5" t="s">
        <v>505</v>
      </c>
      <c r="G28" s="7">
        <v>46625</v>
      </c>
      <c r="I28" s="5" t="s">
        <v>609</v>
      </c>
      <c r="J28" s="7">
        <v>3905</v>
      </c>
    </row>
    <row r="29" spans="2:12" x14ac:dyDescent="0.3">
      <c r="F29" s="5" t="s">
        <v>444</v>
      </c>
      <c r="G29" s="7">
        <v>34472</v>
      </c>
      <c r="I29" s="5" t="s">
        <v>610</v>
      </c>
      <c r="J29" s="7">
        <v>12103</v>
      </c>
    </row>
    <row r="30" spans="2:12" x14ac:dyDescent="0.3">
      <c r="F30" s="5" t="s">
        <v>558</v>
      </c>
      <c r="G30" s="7">
        <v>35256</v>
      </c>
      <c r="I30" s="5" t="s">
        <v>607</v>
      </c>
      <c r="J30" s="7">
        <v>9856</v>
      </c>
    </row>
    <row r="31" spans="2:12" x14ac:dyDescent="0.3">
      <c r="F31" s="5" t="s">
        <v>601</v>
      </c>
      <c r="G31" s="7">
        <v>209538</v>
      </c>
      <c r="I31" s="5" t="s">
        <v>601</v>
      </c>
      <c r="J31" s="7">
        <v>32591</v>
      </c>
    </row>
    <row r="34" spans="6:10" x14ac:dyDescent="0.3">
      <c r="F34" s="4" t="s">
        <v>600</v>
      </c>
      <c r="G34" t="s">
        <v>605</v>
      </c>
      <c r="I34" s="4" t="s">
        <v>600</v>
      </c>
      <c r="J34" t="s">
        <v>602</v>
      </c>
    </row>
    <row r="35" spans="6:10" x14ac:dyDescent="0.3">
      <c r="F35" s="5" t="s">
        <v>55</v>
      </c>
      <c r="G35">
        <v>3</v>
      </c>
      <c r="I35" s="5" t="s">
        <v>433</v>
      </c>
      <c r="J35" s="7">
        <v>32591</v>
      </c>
    </row>
    <row r="36" spans="6:10" x14ac:dyDescent="0.3">
      <c r="F36" s="5" t="s">
        <v>32</v>
      </c>
      <c r="G36">
        <v>1</v>
      </c>
      <c r="I36" s="5" t="s">
        <v>601</v>
      </c>
      <c r="J36" s="7">
        <v>32591</v>
      </c>
    </row>
    <row r="37" spans="6:10" x14ac:dyDescent="0.3">
      <c r="F37" s="5" t="s">
        <v>46</v>
      </c>
      <c r="G37">
        <v>3</v>
      </c>
    </row>
    <row r="38" spans="6:10" x14ac:dyDescent="0.3">
      <c r="F38" s="5" t="s">
        <v>37</v>
      </c>
      <c r="G38">
        <v>1</v>
      </c>
    </row>
    <row r="39" spans="6:10" x14ac:dyDescent="0.3">
      <c r="F39" s="5" t="s">
        <v>76</v>
      </c>
      <c r="G39">
        <v>1</v>
      </c>
    </row>
    <row r="40" spans="6:10" x14ac:dyDescent="0.3">
      <c r="F40" s="5" t="s">
        <v>20</v>
      </c>
      <c r="G40">
        <v>3</v>
      </c>
    </row>
    <row r="41" spans="6:10" x14ac:dyDescent="0.3">
      <c r="F41" s="5" t="s">
        <v>601</v>
      </c>
      <c r="G41">
        <v>12</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EC2F3-426B-484C-995E-2D984BD0F180}">
  <dimension ref="N4"/>
  <sheetViews>
    <sheetView tabSelected="1" zoomScale="50" workbookViewId="0">
      <selection activeCell="H8" sqref="H8"/>
    </sheetView>
  </sheetViews>
  <sheetFormatPr defaultRowHeight="14.4" x14ac:dyDescent="0.3"/>
  <sheetData>
    <row r="4" spans="14:14" x14ac:dyDescent="0.3">
      <c r="N4" s="1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B01FB37-36F2-475B-A7E4-E984406CC539}">
  <ds:schemaRefs/>
</ds:datastoreItem>
</file>

<file path=customXml/itemProps2.xml><?xml version="1.0" encoding="utf-8"?>
<ds:datastoreItem xmlns:ds="http://schemas.openxmlformats.org/officeDocument/2006/customXml" ds:itemID="{1B522CC4-6EF8-44B8-963E-6A58BA783B96}">
  <ds:schemaRefs/>
</ds:datastoreItem>
</file>

<file path=customXml/itemProps3.xml><?xml version="1.0" encoding="utf-8"?>
<ds:datastoreItem xmlns:ds="http://schemas.openxmlformats.org/officeDocument/2006/customXml" ds:itemID="{D4B389FA-2D11-4BEE-9358-C419BC9A00BF}">
  <ds:schemaRefs/>
</ds:datastoreItem>
</file>

<file path=customXml/itemProps4.xml><?xml version="1.0" encoding="utf-8"?>
<ds:datastoreItem xmlns:ds="http://schemas.openxmlformats.org/officeDocument/2006/customXml" ds:itemID="{40159E66-3860-4A4F-97EA-CA901B7DF9EB}">
  <ds:schemaRefs>
    <ds:schemaRef ds:uri="http://schemas.microsoft.com/DataMashup"/>
  </ds:schemaRefs>
</ds:datastoreItem>
</file>

<file path=customXml/itemProps5.xml><?xml version="1.0" encoding="utf-8"?>
<ds:datastoreItem xmlns:ds="http://schemas.openxmlformats.org/officeDocument/2006/customXml" ds:itemID="{52A5892A-3F8C-433A-8058-7B7933E64BCB}">
  <ds:schemaRefs/>
</ds:datastoreItem>
</file>

<file path=customXml/itemProps6.xml><?xml version="1.0" encoding="utf-8"?>
<ds:datastoreItem xmlns:ds="http://schemas.openxmlformats.org/officeDocument/2006/customXml" ds:itemID="{288A635F-073C-479A-85C6-2DAA7C721D46}">
  <ds:schemaRefs/>
</ds:datastoreItem>
</file>

<file path=customXml/itemProps7.xml><?xml version="1.0" encoding="utf-8"?>
<ds:datastoreItem xmlns:ds="http://schemas.openxmlformats.org/officeDocument/2006/customXml" ds:itemID="{7A16CF88-3E9C-4939-9824-2A14CA481BAF}">
  <ds:schemaRefs/>
</ds:datastoreItem>
</file>

<file path=customXml/itemProps8.xml><?xml version="1.0" encoding="utf-8"?>
<ds:datastoreItem xmlns:ds="http://schemas.openxmlformats.org/officeDocument/2006/customXml" ds:itemID="{E900604C-1E75-46DB-BC72-00EAD885BA88}">
  <ds:schemaRefs/>
</ds:datastoreItem>
</file>

<file path=customXml/itemProps9.xml><?xml version="1.0" encoding="utf-8"?>
<ds:datastoreItem xmlns:ds="http://schemas.openxmlformats.org/officeDocument/2006/customXml" ds:itemID="{8DA47C02-2335-4A77-8A39-DBC7A2806455}">
  <ds:schemaRefs/>
</ds:datastoreItem>
</file>

<file path=customXml/itemProps10.xml><?xml version="1.0" encoding="utf-8"?>
<ds:datastoreItem xmlns:ds="http://schemas.openxmlformats.org/officeDocument/2006/customXml" ds:itemID="{CE1A2286-7B6D-4EB3-852D-1CD73F1185F3}">
  <ds:schemaRefs/>
</ds:datastoreItem>
</file>

<file path=customXml/itemProps11.xml><?xml version="1.0" encoding="utf-8"?>
<ds:datastoreItem xmlns:ds="http://schemas.openxmlformats.org/officeDocument/2006/customXml" ds:itemID="{27F81E70-57C6-4FE9-ADA3-2B06C2F5EC67}">
  <ds:schemaRefs/>
</ds:datastoreItem>
</file>

<file path=customXml/itemProps12.xml><?xml version="1.0" encoding="utf-8"?>
<ds:datastoreItem xmlns:ds="http://schemas.openxmlformats.org/officeDocument/2006/customXml" ds:itemID="{370BC423-711B-4093-B782-A57EFF1AA296}">
  <ds:schemaRefs/>
</ds:datastoreItem>
</file>

<file path=customXml/itemProps13.xml><?xml version="1.0" encoding="utf-8"?>
<ds:datastoreItem xmlns:ds="http://schemas.openxmlformats.org/officeDocument/2006/customXml" ds:itemID="{96FA7A45-11F3-40C0-90FC-ABF202569332}">
  <ds:schemaRefs/>
</ds:datastoreItem>
</file>

<file path=customXml/itemProps14.xml><?xml version="1.0" encoding="utf-8"?>
<ds:datastoreItem xmlns:ds="http://schemas.openxmlformats.org/officeDocument/2006/customXml" ds:itemID="{966AD5C1-1AF3-4F4E-8124-129A2049D07E}">
  <ds:schemaRefs/>
</ds:datastoreItem>
</file>

<file path=customXml/itemProps15.xml><?xml version="1.0" encoding="utf-8"?>
<ds:datastoreItem xmlns:ds="http://schemas.openxmlformats.org/officeDocument/2006/customXml" ds:itemID="{115BC9D0-0FB1-4B61-B785-AA050C1BCFD9}">
  <ds:schemaRefs/>
</ds:datastoreItem>
</file>

<file path=customXml/itemProps16.xml><?xml version="1.0" encoding="utf-8"?>
<ds:datastoreItem xmlns:ds="http://schemas.openxmlformats.org/officeDocument/2006/customXml" ds:itemID="{D3E0BAB2-E3AD-4D22-A332-5B139DEF7D9A}">
  <ds:schemaRefs/>
</ds:datastoreItem>
</file>

<file path=customXml/itemProps17.xml><?xml version="1.0" encoding="utf-8"?>
<ds:datastoreItem xmlns:ds="http://schemas.openxmlformats.org/officeDocument/2006/customXml" ds:itemID="{1DD6554E-9817-449A-B18A-A86585495273}">
  <ds:schemaRefs/>
</ds:datastoreItem>
</file>

<file path=customXml/itemProps18.xml><?xml version="1.0" encoding="utf-8"?>
<ds:datastoreItem xmlns:ds="http://schemas.openxmlformats.org/officeDocument/2006/customXml" ds:itemID="{091D9155-BBFF-46BE-9A41-19FCD87472D9}">
  <ds:schemaRefs/>
</ds:datastoreItem>
</file>

<file path=customXml/itemProps19.xml><?xml version="1.0" encoding="utf-8"?>
<ds:datastoreItem xmlns:ds="http://schemas.openxmlformats.org/officeDocument/2006/customXml" ds:itemID="{1E4B7590-929C-4D37-BDFD-973E4BECC5A2}">
  <ds:schemaRefs/>
</ds:datastoreItem>
</file>

<file path=customXml/itemProps20.xml><?xml version="1.0" encoding="utf-8"?>
<ds:datastoreItem xmlns:ds="http://schemas.openxmlformats.org/officeDocument/2006/customXml" ds:itemID="{418EFBA6-9FAE-402A-B596-837B5EF1AC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Order</vt:lpstr>
      <vt:lpstr>Customers</vt:lpstr>
      <vt:lpstr>ExcelProjectData</vt:lpstr>
      <vt:lpstr>sheeet1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horain khattak</dc:creator>
  <cp:lastModifiedBy>horain khattak</cp:lastModifiedBy>
  <dcterms:created xsi:type="dcterms:W3CDTF">2026-05-14T17:14:14Z</dcterms:created>
  <dcterms:modified xsi:type="dcterms:W3CDTF">2026-06-03T03:44:40Z</dcterms:modified>
</cp:coreProperties>
</file>